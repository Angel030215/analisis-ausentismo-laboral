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FB15F26A-C0FC-4EE4-9022-B299BA7CAFD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usentismos" sheetId="2" r:id="rId1"/>
    <sheet name="Analisis" sheetId="5" r:id="rId2"/>
    <sheet name="Info" sheetId="3" r:id="rId3"/>
    <sheet name="DashBoard" sheetId="4" r:id="rId4"/>
  </sheets>
  <externalReferences>
    <externalReference r:id="rId5"/>
    <externalReference r:id="rId6"/>
  </externalReferences>
  <definedNames>
    <definedName name="_xlnm.Print_Area" localSheetId="3">DashBoard!$B$1:$R$31</definedName>
    <definedName name="DatosExternos_1" localSheetId="0" hidden="1">Ausentismos!$A$1:$S$385</definedName>
    <definedName name="SegmentaciónDeDatos_Año">#N/A</definedName>
    <definedName name="SegmentaciónDeDatos_Ingenio">#N/A</definedName>
    <definedName name="SegmentaciónDeDatos_Mes">#N/A</definedName>
    <definedName name="SegmentaciónDeDatos_Sind_No_sind">#N/A</definedName>
  </definedNames>
  <calcPr calcId="191028"/>
  <pivotCaches>
    <pivotCache cacheId="37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3" l="1"/>
  <c r="D39" i="3"/>
  <c r="E39" i="3"/>
  <c r="F39" i="3"/>
  <c r="C40" i="3"/>
  <c r="D40" i="3"/>
  <c r="E40" i="3"/>
  <c r="F40" i="3"/>
  <c r="C41" i="3"/>
  <c r="D41" i="3"/>
  <c r="E41" i="3"/>
  <c r="F41" i="3"/>
  <c r="D38" i="3"/>
  <c r="E38" i="3"/>
  <c r="F38" i="3"/>
  <c r="C38" i="3"/>
  <c r="C33" i="3"/>
  <c r="C34" i="3"/>
  <c r="C35" i="3"/>
  <c r="C32" i="3"/>
  <c r="D26" i="3"/>
  <c r="E26" i="3"/>
  <c r="F26" i="3"/>
  <c r="D27" i="3"/>
  <c r="E27" i="3"/>
  <c r="F27" i="3"/>
  <c r="D28" i="3"/>
  <c r="E28" i="3"/>
  <c r="F28" i="3"/>
  <c r="D29" i="3"/>
  <c r="E29" i="3"/>
  <c r="F29" i="3"/>
  <c r="C27" i="3"/>
  <c r="C28" i="3"/>
  <c r="C29" i="3"/>
  <c r="C26" i="3"/>
  <c r="D13" i="3"/>
  <c r="D14" i="3"/>
  <c r="D15" i="3"/>
  <c r="D16" i="3"/>
  <c r="D17" i="3"/>
  <c r="D18" i="3"/>
  <c r="D19" i="3"/>
  <c r="D20" i="3"/>
  <c r="D21" i="3"/>
  <c r="D22" i="3"/>
  <c r="D23" i="3"/>
  <c r="D12" i="3"/>
  <c r="C13" i="3"/>
  <c r="C14" i="3"/>
  <c r="C15" i="3"/>
  <c r="C16" i="3"/>
  <c r="C17" i="3"/>
  <c r="C18" i="3"/>
  <c r="C19" i="3"/>
  <c r="C20" i="3"/>
  <c r="C21" i="3"/>
  <c r="C22" i="3"/>
  <c r="C23" i="3"/>
  <c r="C12" i="3"/>
  <c r="D6" i="3"/>
  <c r="E6" i="3"/>
  <c r="F6" i="3"/>
  <c r="G6" i="3"/>
  <c r="H6" i="3"/>
  <c r="I6" i="3"/>
  <c r="J6" i="3"/>
  <c r="K6" i="3"/>
  <c r="L6" i="3"/>
  <c r="M6" i="3"/>
  <c r="N6" i="3"/>
  <c r="D7" i="3"/>
  <c r="E7" i="3"/>
  <c r="F7" i="3"/>
  <c r="G7" i="3"/>
  <c r="H7" i="3"/>
  <c r="I7" i="3"/>
  <c r="J7" i="3"/>
  <c r="K7" i="3"/>
  <c r="L7" i="3"/>
  <c r="M7" i="3"/>
  <c r="N7" i="3"/>
  <c r="D8" i="3"/>
  <c r="E8" i="3"/>
  <c r="F8" i="3"/>
  <c r="G8" i="3"/>
  <c r="H8" i="3"/>
  <c r="I8" i="3"/>
  <c r="J8" i="3"/>
  <c r="K8" i="3"/>
  <c r="L8" i="3"/>
  <c r="M8" i="3"/>
  <c r="N8" i="3"/>
  <c r="D9" i="3"/>
  <c r="E9" i="3"/>
  <c r="F9" i="3"/>
  <c r="G9" i="3"/>
  <c r="H9" i="3"/>
  <c r="I9" i="3"/>
  <c r="J9" i="3"/>
  <c r="K9" i="3"/>
  <c r="L9" i="3"/>
  <c r="M9" i="3"/>
  <c r="N9" i="3"/>
  <c r="C7" i="3"/>
  <c r="C8" i="3"/>
  <c r="C9" i="3"/>
  <c r="C6" i="3"/>
  <c r="O3" i="3"/>
  <c r="N3" i="3"/>
  <c r="M3" i="3"/>
  <c r="L3" i="3"/>
  <c r="K3" i="3"/>
  <c r="J3" i="3"/>
  <c r="I3" i="3"/>
  <c r="H3" i="3"/>
  <c r="G3" i="3"/>
  <c r="F3" i="3"/>
  <c r="E3" i="3"/>
  <c r="D3" i="3"/>
  <c r="C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3E9360-1DB6-45C7-9756-3494723F7A31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96EAEFD8-8FAA-4896-8922-3468CF72D4EF}" keepAlive="1" name="Consulta - Ausentismos" description="Conexión a la consulta 'Ausentismos' en el libro." type="5" refreshedVersion="8" background="1" saveData="1">
    <dbPr connection="Provider=Microsoft.Mashup.OleDb.1;Data Source=$Workbook$;Location=Ausentismos;Extended Properties=&quot;&quot;" command="SELECT * FROM [Ausentismos]"/>
  </connection>
  <connection id="3" xr16:uid="{65391C12-296F-4CA9-9849-96F2A38D29AD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2DF0AF43-6987-42FC-8DC3-8BD793CE502F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CF28E2F1-4EDC-4979-A9D6-FCAE55D5F361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<sst xmlns="http://schemas.openxmlformats.org/spreadsheetml/2006/main" count="1321" uniqueCount="62">
  <si>
    <t>Ingenio</t>
  </si>
  <si>
    <t>Plantilla</t>
  </si>
  <si>
    <t>Sind/No sind</t>
  </si>
  <si>
    <t>Días laborables
 del mes</t>
  </si>
  <si>
    <t>Mes</t>
  </si>
  <si>
    <t>Jornales</t>
  </si>
  <si>
    <t>FI</t>
  </si>
  <si>
    <t>PSG</t>
  </si>
  <si>
    <t>EG</t>
  </si>
  <si>
    <t>RT</t>
  </si>
  <si>
    <t>Ausencias</t>
  </si>
  <si>
    <t>REAL AUSENT.</t>
  </si>
  <si>
    <t>REAL COMPR.</t>
  </si>
  <si>
    <t>PLAN 
AUSENT.</t>
  </si>
  <si>
    <t>PLAN COMPR.</t>
  </si>
  <si>
    <t>DIF +/-</t>
  </si>
  <si>
    <t>Orden</t>
  </si>
  <si>
    <t>Año</t>
  </si>
  <si>
    <t>ID</t>
  </si>
  <si>
    <t>Huixtla</t>
  </si>
  <si>
    <t>No Sindicalizados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</si>
  <si>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</si>
  <si>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</si>
  <si>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</si>
  <si>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</si>
  <si>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</si>
  <si>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</si>
  <si>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</si>
  <si>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</si>
  <si>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</si>
  <si>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</si>
  <si>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</si>
  <si>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</si>
  <si>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mayo</t>
  </si>
  <si>
    <t>Sindicalizados (Perm. Y Temp)</t>
  </si>
  <si>
    <t>Modelo</t>
  </si>
  <si>
    <t>San Pedro</t>
  </si>
  <si>
    <t>Santa Clara</t>
  </si>
  <si>
    <t xml:space="preserve">      </t>
  </si>
  <si>
    <t xml:space="preserve"> </t>
  </si>
  <si>
    <t>Suma de Plantilla</t>
  </si>
  <si>
    <t>Suma de Días laborables</t>
  </si>
  <si>
    <t>Suma de Jornales</t>
  </si>
  <si>
    <t>Suma de Ausencias</t>
  </si>
  <si>
    <t>Promedio de REAL AUSENT.</t>
  </si>
  <si>
    <t>Promedio de REAL COMPR.</t>
  </si>
  <si>
    <t>Promedio de PLAN COMPR.</t>
  </si>
  <si>
    <t>REAL AUSENT</t>
  </si>
  <si>
    <t>Suma de Días laborables
 del mes</t>
  </si>
  <si>
    <t>Suma de FI</t>
  </si>
  <si>
    <t>Suma de PSG</t>
  </si>
  <si>
    <t>Suma de EG</t>
  </si>
  <si>
    <t>Suma de RT</t>
  </si>
  <si>
    <t>Suma de PLAN 
AUSENT.</t>
  </si>
  <si>
    <t>Promedio de DIF +/-</t>
  </si>
  <si>
    <t>Etiquetas de fila</t>
  </si>
  <si>
    <t>Total general</t>
  </si>
  <si>
    <t xml:space="preserve">Promedio de PLAN </t>
  </si>
  <si>
    <t>Total 2023</t>
  </si>
  <si>
    <t>Total 2024</t>
  </si>
  <si>
    <t>Total 2025</t>
  </si>
  <si>
    <t>Total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</si>
</sst>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wrapText="1"/>
    </xf>
    <xf numFmtId="10" fontId="0" fillId="0" borderId="0" xfId="1" applyNumberFormat="1" applyFon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1" applyNumberFormat="1" applyFont="1" applyAlignment="1">
      <alignment wrapText="1"/>
    </xf>
    <xf numFmtId="10" fontId="0" fillId="0" borderId="0" xfId="0" applyNumberFormat="1"/>
    <xf numFmtId="10" fontId="0" fillId="0" borderId="0" xfId="0" applyNumberFormat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ill="1"/>
  </cellXfs>
  <cellStyles count="2">
    <cellStyle name="Normal" xfId="0" builtinId="0"/>
    <cellStyle name="Porcentaje" xfId="1" builtinId="5"/>
  </cellStyles>
  <dxfs count="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z val="8"/>
        <name val="Arial"/>
        <family val="2"/>
        <scheme val="none"/>
      </font>
      <fill>
        <patternFill>
          <bgColor theme="1"/>
        </patternFill>
      </fill>
    </dxf>
    <dxf>
      <font>
        <b val="0"/>
        <i val="0"/>
        <sz val="8"/>
        <name val="Arial"/>
        <family val="2"/>
        <scheme val="none"/>
      </font>
      <fill>
        <patternFill>
          <bgColor theme="1" tint="4.9989318521683403E-2"/>
        </patternFill>
      </fill>
    </dxf>
    <dxf>
      <font>
        <b val="0"/>
        <i val="0"/>
        <sz val="8"/>
        <name val="Arial"/>
        <family val="2"/>
        <scheme val="none"/>
      </font>
      <fill>
        <patternFill patternType="solid">
          <bgColor theme="0" tint="-4.9989318521683403E-2"/>
        </patternFill>
      </fill>
    </dxf>
    <dxf>
      <font>
        <b val="0"/>
        <i val="0"/>
        <sz val="8"/>
        <name val="Arial"/>
        <family val="2"/>
        <scheme val="none"/>
      </font>
      <fill>
        <patternFill>
          <bgColor theme="0" tint="-4.9989318521683403E-2"/>
        </patternFill>
      </fill>
    </dxf>
  </dxfs>
  <tableStyles count="2" defaultTableStyle="TableStyleMedium2" defaultPivotStyle="PivotStyleMedium9">
    <tableStyle name="Estilo de segmentación de datos 1" pivot="0" table="0" count="10" xr9:uid="{CE36A058-29B8-467B-9F11-EEEA89AACEBA}">
      <tableStyleElement type="wholeTable" dxfId="7"/>
      <tableStyleElement type="headerRow" dxfId="6"/>
    </tableStyle>
    <tableStyle name="Estilo de segmentación de datos 2" pivot="0" table="0" count="10" xr9:uid="{1D985480-C1B6-4F93-B379-D3B32DA22F5F}">
      <tableStyleElement type="wholeTable" dxfId="5"/>
      <tableStyleElement type="headerRow" dxfId="4"/>
    </tableStyle>
  </tableStyles>
  <extLst>
    <ext xmlns:x14="http://schemas.microsoft.com/office/spreadsheetml/2009/9/main" uri="{46F421CA-312F-682f-3DD2-61675219B42D}">
      <x14:dxfs count="16"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 tint="0.79998168889431442"/>
            </patternFill>
          </fill>
        </dxf>
        <dxf>
          <font>
            <b/>
            <i val="0"/>
            <sz val="8"/>
            <name val="Arial"/>
            <family val="2"/>
          </font>
          <fill>
            <patternFill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 tint="0.79998168889431442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/>
            </patternFill>
          </fill>
        </dxf>
        <dxf>
          <font>
            <b val="0"/>
            <i val="0"/>
            <sz val="8"/>
            <name val="Arial"/>
            <family val="2"/>
          </font>
          <fill>
            <patternFill>
              <bgColor theme="7" tint="0.79998168889431442"/>
            </patternFill>
          </fill>
        </dxf>
        <dxf>
          <font>
            <b val="0"/>
            <i val="0"/>
            <sz val="8"/>
            <name val="Arial"/>
            <family val="2"/>
            <scheme val="none"/>
          </font>
          <fill>
            <patternFill>
              <bgColor theme="7" tint="0.79998168889431442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 patternType="solid"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 tint="0.59996337778862885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 patternType="solid"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>
              <bgColor theme="7" tint="0.59996337778862885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 patternType="solid">
              <bgColor theme="7"/>
            </patternFill>
          </fill>
        </dxf>
        <dxf>
          <font>
            <b/>
            <i val="0"/>
            <sz val="8"/>
            <name val="Arial"/>
            <family val="2"/>
            <scheme val="none"/>
          </font>
          <fill>
            <patternFill patternType="solid">
              <bgColor theme="7"/>
            </patternFill>
          </fill>
        </dxf>
        <dxf>
          <font>
            <b val="0"/>
            <i val="0"/>
            <sz val="8"/>
            <name val="Arial"/>
            <family val="2"/>
            <scheme val="none"/>
          </font>
          <fill>
            <patternFill>
              <bgColor theme="7" tint="0.59996337778862885"/>
            </patternFill>
          </fill>
        </dxf>
        <dxf>
          <font>
            <b val="0"/>
            <i val="0"/>
            <sz val="8"/>
            <name val="Arial"/>
            <family val="2"/>
            <scheme val="none"/>
          </font>
          <fill>
            <patternFill patternType="solid">
              <bgColor theme="7" tint="0.7999816888943144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tilo de segmentación de datos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07/relationships/slicerCache" Target="slicerCaches/slicerCache4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1E-4892-AB62-1F92F02FCB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1E-4892-AB62-1F92F02FCB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1E-4892-AB62-1F92F02FCB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1E-4892-AB62-1F92F02FCB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Info!$F$2:$I$2</c:f>
              <c:strCache>
                <c:ptCount val="4"/>
                <c:pt idx="0">
                  <c:v>FI</c:v>
                </c:pt>
                <c:pt idx="1">
                  <c:v>PSG</c:v>
                </c:pt>
                <c:pt idx="2">
                  <c:v>EG</c:v>
                </c:pt>
                <c:pt idx="3">
                  <c:v>RT</c:v>
                </c:pt>
              </c:strCache>
            </c:strRef>
          </c:cat>
          <c:val>
            <c:numRef>
              <c:f>Info!$F$3:$I$3</c:f>
              <c:numCache>
                <c:formatCode>General</c:formatCode>
                <c:ptCount val="4"/>
                <c:pt idx="0">
                  <c:v>12163</c:v>
                </c:pt>
                <c:pt idx="1">
                  <c:v>1053</c:v>
                </c:pt>
                <c:pt idx="2">
                  <c:v>2358</c:v>
                </c:pt>
                <c:pt idx="3">
                  <c:v>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11E-4892-AB62-1F92F02FCBC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Info!$B$6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Info!$C$5:$N$5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Info!$C$6:$N$6</c:f>
              <c:numCache>
                <c:formatCode>0.00%</c:formatCode>
                <c:ptCount val="12"/>
                <c:pt idx="0">
                  <c:v>6.6848186249870156E-2</c:v>
                </c:pt>
                <c:pt idx="1">
                  <c:v>6.2747300999818123E-2</c:v>
                </c:pt>
                <c:pt idx="2">
                  <c:v>6.3848824151131148E-2</c:v>
                </c:pt>
                <c:pt idx="3">
                  <c:v>7.2175804862173856E-2</c:v>
                </c:pt>
                <c:pt idx="4">
                  <c:v>7.3010611718769089E-2</c:v>
                </c:pt>
                <c:pt idx="5">
                  <c:v>0.11635831594486107</c:v>
                </c:pt>
                <c:pt idx="6">
                  <c:v>7.5294049498176752E-2</c:v>
                </c:pt>
                <c:pt idx="7">
                  <c:v>6.6134466946271633E-2</c:v>
                </c:pt>
                <c:pt idx="8">
                  <c:v>6.2478195418441268E-2</c:v>
                </c:pt>
                <c:pt idx="9">
                  <c:v>6.4532125828201753E-2</c:v>
                </c:pt>
                <c:pt idx="10">
                  <c:v>8.3703051908810444E-2</c:v>
                </c:pt>
                <c:pt idx="11">
                  <c:v>5.4894259217323202E-2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21-4AF5-A22B-D63C509A09F1}"/>
            </c:ext>
          </c:extLst>
        </c:ser>
        <c:ser>
          <c:idx val="1"/>
          <c:order val="1"/>
          <c:tx>
            <c:strRef>
              <c:f>Info!$B$7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Info!$C$5:$N$5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Info!$C$7:$N$7</c:f>
              <c:numCache>
                <c:formatCode>0.00%</c:formatCode>
                <c:ptCount val="12"/>
                <c:pt idx="0">
                  <c:v>4.8372213674518785E-2</c:v>
                </c:pt>
                <c:pt idx="1">
                  <c:v>5.0935901086314711E-2</c:v>
                </c:pt>
                <c:pt idx="2">
                  <c:v>5.5534345525763473E-2</c:v>
                </c:pt>
                <c:pt idx="3">
                  <c:v>6.5905942511229137E-2</c:v>
                </c:pt>
                <c:pt idx="4">
                  <c:v>8.688273843005323E-2</c:v>
                </c:pt>
                <c:pt idx="5">
                  <c:v>7.9717764144731709E-2</c:v>
                </c:pt>
                <c:pt idx="6">
                  <c:v>6.1689782160005535E-2</c:v>
                </c:pt>
                <c:pt idx="7">
                  <c:v>5.5183527730146273E-2</c:v>
                </c:pt>
                <c:pt idx="8">
                  <c:v>4.9326514607387878E-2</c:v>
                </c:pt>
                <c:pt idx="9">
                  <c:v>5.2723712539204354E-2</c:v>
                </c:pt>
                <c:pt idx="10">
                  <c:v>5.228065962902663E-2</c:v>
                </c:pt>
                <c:pt idx="11">
                  <c:v>5.1253991894640957E-2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21-4AF5-A22B-D63C509A09F1}"/>
            </c:ext>
          </c:extLst>
        </c:ser>
        <c:ser>
          <c:idx val="2"/>
          <c:order val="2"/>
          <c:tx>
            <c:strRef>
              <c:f>Info!$B$8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Info!$C$5:$N$5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Info!$C$8:$N$8</c:f>
              <c:numCache>
                <c:formatCode>0.00%</c:formatCode>
                <c:ptCount val="12"/>
                <c:pt idx="0">
                  <c:v>4.9524622146270715E-2</c:v>
                </c:pt>
                <c:pt idx="1">
                  <c:v>6.0256053343961363E-2</c:v>
                </c:pt>
                <c:pt idx="2">
                  <c:v>5.2095488658119325E-2</c:v>
                </c:pt>
                <c:pt idx="3">
                  <c:v>5.8896704092143023E-2</c:v>
                </c:pt>
                <c:pt idx="4">
                  <c:v>6.0983994607852587E-2</c:v>
                </c:pt>
                <c:pt idx="5">
                  <c:v>7.5063892235056842E-2</c:v>
                </c:pt>
                <c:pt idx="6">
                  <c:v>6.883351333434877E-2</c:v>
                </c:pt>
                <c:pt idx="7">
                  <c:v>5.8398281236702335E-2</c:v>
                </c:pt>
                <c:pt idx="8">
                  <c:v>4.4790409442742658E-2</c:v>
                </c:pt>
                <c:pt idx="9">
                  <c:v>3.8944314337430751E-2</c:v>
                </c:pt>
                <c:pt idx="10">
                  <c:v>4.8813035153630384E-2</c:v>
                </c:pt>
                <c:pt idx="11">
                  <c:v>5.6797020337354981E-2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21-4AF5-A22B-D63C509A09F1}"/>
            </c:ext>
          </c:extLst>
        </c:ser>
        <c:ser>
          <c:idx val="3"/>
          <c:order val="3"/>
          <c:tx>
            <c:strRef>
              <c:f>Info!$B$9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Info!$C$5:$N$5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Info!$C$9:$N$9</c:f>
              <c:numCache>
                <c:formatCode>0.00%</c:formatCode>
                <c:ptCount val="12"/>
                <c:pt idx="0">
                  <c:v>5.6063710698600083E-2</c:v>
                </c:pt>
                <c:pt idx="1">
                  <c:v>5.2893415855511064E-2</c:v>
                </c:pt>
                <c:pt idx="2">
                  <c:v>6.0524643802892616E-2</c:v>
                </c:pt>
                <c:pt idx="3">
                  <c:v>5.5572641143180966E-2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21-4AF5-A22B-D63C509A09F1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2768031"/>
        <c:axId val="1072768511"/>
      </c:lineChart>
      <c:catAx>
        <c:axId val="107276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2768511"/>
        <c:crosses val="autoZero"/>
        <c:auto val="1"/>
        <c:lblAlgn val="ctr"/>
        <c:lblOffset val="100"/>
        <c:noMultiLvlLbl val="0"/>
      </c:catAx>
      <c:valAx>
        <c:axId val="107276851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72768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Info!$C$31</c:f>
              <c:strCache>
                <c:ptCount val="1"/>
                <c:pt idx="0">
                  <c:v>REAL AUSENT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Info!$B$32:$B$35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Info!$C$32:$C$35</c:f>
              <c:numCache>
                <c:formatCode>0.00%</c:formatCode>
                <c:ptCount val="4"/>
                <c:pt idx="0">
                  <c:v>7.1835432728654031E-2</c:v>
                </c:pt>
                <c:pt idx="1">
                  <c:v>5.9150591161085231E-2</c:v>
                </c:pt>
                <c:pt idx="2">
                  <c:v>5.611644407713446E-2</c:v>
                </c:pt>
                <c:pt idx="3">
                  <c:v>5.6263602875046184E-2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7-4A5C-B691-0C5BAF3E08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762944"/>
        <c:axId val="64774944"/>
      </c:barChart>
      <c:catAx>
        <c:axId val="6476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774944"/>
        <c:crosses val="autoZero"/>
        <c:auto val="1"/>
        <c:lblAlgn val="ctr"/>
        <c:lblOffset val="100"/>
        <c:noMultiLvlLbl val="0"/>
      </c:catAx>
      <c:valAx>
        <c:axId val="64774944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4762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Info!$D$11</c:f>
              <c:strCache>
                <c:ptCount val="1"/>
                <c:pt idx="0">
                  <c:v>REAL COMPR.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Info!$B$12:$B$23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Info!$D$12:$D$23</c:f>
              <c:numCache>
                <c:formatCode>0.00%</c:formatCode>
                <c:ptCount val="12"/>
                <c:pt idx="0">
                  <c:v>0.94393628930139994</c:v>
                </c:pt>
                <c:pt idx="1">
                  <c:v>0.94710658414448889</c:v>
                </c:pt>
                <c:pt idx="2">
                  <c:v>0.93947535619710743</c:v>
                </c:pt>
                <c:pt idx="3">
                  <c:v>0.94442735885681894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B-4B55-9687-5E263733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115466335"/>
        <c:axId val="2115461055"/>
      </c:barChart>
      <c:lineChart>
        <c:grouping val="standard"/>
        <c:varyColors val="0"/>
        <c:ser>
          <c:idx val="0"/>
          <c:order val="0"/>
          <c:tx>
            <c:strRef>
              <c:f>Info!$C$11</c:f>
              <c:strCache>
                <c:ptCount val="1"/>
                <c:pt idx="0">
                  <c:v>PLAN COMPR.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Info!$B$12:$B$23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Info!$C$12:$C$23</c:f>
              <c:numCache>
                <c:formatCode>0.00%</c:formatCode>
                <c:ptCount val="12"/>
                <c:pt idx="0">
                  <c:v>0.91127500000000006</c:v>
                </c:pt>
                <c:pt idx="1">
                  <c:v>0.89279999999999993</c:v>
                </c:pt>
                <c:pt idx="2">
                  <c:v>0.90570000000000006</c:v>
                </c:pt>
                <c:pt idx="3">
                  <c:v>0.89495000000000002</c:v>
                </c:pt>
                <c:pt idx="4">
                  <c:v>0.89694999999999991</c:v>
                </c:pt>
                <c:pt idx="5">
                  <c:v>0.87884999999999991</c:v>
                </c:pt>
                <c:pt idx="6">
                  <c:v>0.88897499999999985</c:v>
                </c:pt>
                <c:pt idx="7">
                  <c:v>0.90052499999999991</c:v>
                </c:pt>
                <c:pt idx="8">
                  <c:v>0.92135</c:v>
                </c:pt>
                <c:pt idx="9">
                  <c:v>0.93127500000000007</c:v>
                </c:pt>
                <c:pt idx="10">
                  <c:v>0.91552500000000014</c:v>
                </c:pt>
                <c:pt idx="11">
                  <c:v>0.9008250000000001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7B-4B55-9687-5E2637335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466335"/>
        <c:axId val="2115461055"/>
      </c:lineChart>
      <c:catAx>
        <c:axId val="2115466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5461055"/>
        <c:crosses val="autoZero"/>
        <c:auto val="1"/>
        <c:lblAlgn val="ctr"/>
        <c:lblOffset val="100"/>
        <c:noMultiLvlLbl val="0"/>
      </c:catAx>
      <c:valAx>
        <c:axId val="2115461055"/>
        <c:scaling>
          <c:orientation val="minMax"/>
          <c:max val="1"/>
          <c:min val="0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15466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528510252572863E-2"/>
          <c:y val="5.8387001612921763E-2"/>
          <c:w val="0.82971062967422637"/>
          <c:h val="0.722304677473114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Info!$C$37</c:f>
              <c:strCache>
                <c:ptCount val="1"/>
                <c:pt idx="0">
                  <c:v>FI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Info!$B$38:$B$41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Info!$C$38:$C$41</c:f>
              <c:numCache>
                <c:formatCode>General</c:formatCode>
                <c:ptCount val="4"/>
                <c:pt idx="0">
                  <c:v>32144</c:v>
                </c:pt>
                <c:pt idx="1">
                  <c:v>26402</c:v>
                </c:pt>
                <c:pt idx="2">
                  <c:v>27408</c:v>
                </c:pt>
                <c:pt idx="3">
                  <c:v>12163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1B-471F-AA4A-91A7983ADE08}"/>
            </c:ext>
          </c:extLst>
        </c:ser>
        <c:ser>
          <c:idx val="1"/>
          <c:order val="1"/>
          <c:tx>
            <c:strRef>
              <c:f>Info!$D$37</c:f>
              <c:strCache>
                <c:ptCount val="1"/>
                <c:pt idx="0">
                  <c:v>PSG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Info!$B$38:$B$41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Info!$D$38:$D$41</c:f>
              <c:numCache>
                <c:formatCode>General</c:formatCode>
                <c:ptCount val="4"/>
                <c:pt idx="0">
                  <c:v>2611</c:v>
                </c:pt>
                <c:pt idx="1">
                  <c:v>2605</c:v>
                </c:pt>
                <c:pt idx="2">
                  <c:v>2244</c:v>
                </c:pt>
                <c:pt idx="3">
                  <c:v>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1B-471F-AA4A-91A7983ADE08}"/>
            </c:ext>
          </c:extLst>
        </c:ser>
        <c:ser>
          <c:idx val="2"/>
          <c:order val="2"/>
          <c:tx>
            <c:strRef>
              <c:f>Info!$E$37</c:f>
              <c:strCache>
                <c:ptCount val="1"/>
                <c:pt idx="0">
                  <c:v>EG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Info!$B$38:$B$41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Info!$E$38:$E$41</c:f>
              <c:numCache>
                <c:formatCode>General</c:formatCode>
                <c:ptCount val="4"/>
                <c:pt idx="0">
                  <c:v>5553</c:v>
                </c:pt>
                <c:pt idx="1">
                  <c:v>4970</c:v>
                </c:pt>
                <c:pt idx="2">
                  <c:v>5217</c:v>
                </c:pt>
                <c:pt idx="3">
                  <c:v>2358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1B-471F-AA4A-91A7983ADE08}"/>
            </c:ext>
          </c:extLst>
        </c:ser>
        <c:ser>
          <c:idx val="3"/>
          <c:order val="3"/>
          <c:tx>
            <c:strRef>
              <c:f>Info!$F$37</c:f>
              <c:strCache>
                <c:ptCount val="1"/>
                <c:pt idx="0">
                  <c:v>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Info!$B$38:$B$41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cat>
          <c:val>
            <c:numRef>
              <c:f>Info!$F$38:$F$41</c:f>
              <c:numCache>
                <c:formatCode>General</c:formatCode>
                <c:ptCount val="4"/>
                <c:pt idx="0">
                  <c:v>2475</c:v>
                </c:pt>
                <c:pt idx="1">
                  <c:v>2336</c:v>
                </c:pt>
                <c:pt idx="2">
                  <c:v>2125</c:v>
                </c:pt>
                <c:pt idx="3">
                  <c:v>1284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1B-471F-AA4A-91A7983ADE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6928720"/>
        <c:axId val="66940720"/>
      </c:barChart>
      <c:catAx>
        <c:axId val="669287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940720"/>
        <c:crosses val="autoZero"/>
        <c:auto val="1"/>
        <c:lblAlgn val="ctr"/>
        <c:lblOffset val="100"/>
        <c:noMultiLvlLbl val="0"/>
      </c:catAx>
      <c:valAx>
        <c:axId val="66940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92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15240</xdr:rowOff>
    </xdr:from>
    <xdr:to>
      <xdr:col>21</xdr:col>
      <xdr:colOff>152399</xdr:colOff>
      <xdr:row>39</xdr:row>
      <xdr:rowOff>32240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23443B09-A896-477D-9C66-EC13A235E5D3}"/>
            </a:ext>
          </a:extLst>
        </xdr:cNvPr>
        <xdr:cNvSpPr/>
      </xdr:nvSpPr>
      <xdr:spPr>
        <a:xfrm>
          <a:off x="0" y="15240"/>
          <a:ext cx="14317979" cy="7149320"/>
        </a:xfrm>
        <a:prstGeom prst="roundRect">
          <a:avLst>
            <a:gd name="adj" fmla="val 2228"/>
          </a:avLst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10</xdr:col>
      <xdr:colOff>27225</xdr:colOff>
      <xdr:row>20</xdr:row>
      <xdr:rowOff>9653</xdr:rowOff>
    </xdr:from>
    <xdr:to>
      <xdr:col>11</xdr:col>
      <xdr:colOff>27643</xdr:colOff>
      <xdr:row>20</xdr:row>
      <xdr:rowOff>113090</xdr:rowOff>
    </xdr:to>
    <xdr:sp macro="" textlink="[2]Info2!C19">
      <xdr:nvSpPr>
        <xdr:cNvPr id="4" name="CuadroTexto 62">
          <a:extLst>
            <a:ext uri="{FF2B5EF4-FFF2-40B4-BE49-F238E27FC236}">
              <a16:creationId xmlns:a16="http://schemas.microsoft.com/office/drawing/2014/main" id="{2675D0E6-E513-4AFD-A903-5E328FEE0809}"/>
            </a:ext>
          </a:extLst>
        </xdr:cNvPr>
        <xdr:cNvSpPr txBox="1"/>
      </xdr:nvSpPr>
      <xdr:spPr>
        <a:xfrm>
          <a:off x="7601505" y="3667253"/>
          <a:ext cx="800518" cy="103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3411FBAC-EA73-4DD1-B17A-7826E1AAD406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19</xdr:row>
      <xdr:rowOff>46930</xdr:rowOff>
    </xdr:from>
    <xdr:to>
      <xdr:col>13</xdr:col>
      <xdr:colOff>73761</xdr:colOff>
      <xdr:row>19</xdr:row>
      <xdr:rowOff>177800</xdr:rowOff>
    </xdr:to>
    <xdr:sp macro="" textlink="[2]Info2!E18">
      <xdr:nvSpPr>
        <xdr:cNvPr id="5" name="CuadroTexto 64">
          <a:extLst>
            <a:ext uri="{FF2B5EF4-FFF2-40B4-BE49-F238E27FC236}">
              <a16:creationId xmlns:a16="http://schemas.microsoft.com/office/drawing/2014/main" id="{76932DED-96AE-40F6-AC77-5BF635D8EA30}"/>
            </a:ext>
          </a:extLst>
        </xdr:cNvPr>
        <xdr:cNvSpPr txBox="1"/>
      </xdr:nvSpPr>
      <xdr:spPr>
        <a:xfrm>
          <a:off x="8311326" y="3521650"/>
          <a:ext cx="1119795" cy="130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0324FC2-7AD0-43C1-A66A-E1EC59034769}" type="TxLink">
            <a:rPr lang="en-US" sz="500" b="0" i="0" u="none" strike="noStrike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En Trayecto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20</xdr:row>
      <xdr:rowOff>6748</xdr:rowOff>
    </xdr:from>
    <xdr:to>
      <xdr:col>13</xdr:col>
      <xdr:colOff>73142</xdr:colOff>
      <xdr:row>20</xdr:row>
      <xdr:rowOff>116840</xdr:rowOff>
    </xdr:to>
    <xdr:sp macro="" textlink="[2]Info2!E19">
      <xdr:nvSpPr>
        <xdr:cNvPr id="6" name="CuadroTexto 65">
          <a:extLst>
            <a:ext uri="{FF2B5EF4-FFF2-40B4-BE49-F238E27FC236}">
              <a16:creationId xmlns:a16="http://schemas.microsoft.com/office/drawing/2014/main" id="{7523295E-2E4A-4856-A5E2-9917FC77CAAF}"/>
            </a:ext>
          </a:extLst>
        </xdr:cNvPr>
        <xdr:cNvSpPr txBox="1"/>
      </xdr:nvSpPr>
      <xdr:spPr>
        <a:xfrm>
          <a:off x="8311326" y="3664348"/>
          <a:ext cx="1119176" cy="1100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9FDC581-3F10-4CB2-86E8-95F9ADCF9028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27225</xdr:colOff>
      <xdr:row>20</xdr:row>
      <xdr:rowOff>151756</xdr:rowOff>
    </xdr:from>
    <xdr:to>
      <xdr:col>11</xdr:col>
      <xdr:colOff>27643</xdr:colOff>
      <xdr:row>21</xdr:row>
      <xdr:rowOff>69842</xdr:rowOff>
    </xdr:to>
    <xdr:sp macro="" textlink="[2]Info2!C20">
      <xdr:nvSpPr>
        <xdr:cNvPr id="7" name="CuadroTexto 88">
          <a:extLst>
            <a:ext uri="{FF2B5EF4-FFF2-40B4-BE49-F238E27FC236}">
              <a16:creationId xmlns:a16="http://schemas.microsoft.com/office/drawing/2014/main" id="{A16A6AE5-A460-4516-9E79-3F9598417D10}"/>
            </a:ext>
          </a:extLst>
        </xdr:cNvPr>
        <xdr:cNvSpPr txBox="1"/>
      </xdr:nvSpPr>
      <xdr:spPr>
        <a:xfrm>
          <a:off x="7601505" y="3809356"/>
          <a:ext cx="800518" cy="100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68E2779D-B8BD-444E-8D8E-255A4CA1301F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27225</xdr:colOff>
      <xdr:row>21</xdr:row>
      <xdr:rowOff>98210</xdr:rowOff>
    </xdr:from>
    <xdr:to>
      <xdr:col>11</xdr:col>
      <xdr:colOff>27643</xdr:colOff>
      <xdr:row>22</xdr:row>
      <xdr:rowOff>16295</xdr:rowOff>
    </xdr:to>
    <xdr:sp macro="" textlink="[2]Info2!C21">
      <xdr:nvSpPr>
        <xdr:cNvPr id="8" name="CuadroTexto 89">
          <a:extLst>
            <a:ext uri="{FF2B5EF4-FFF2-40B4-BE49-F238E27FC236}">
              <a16:creationId xmlns:a16="http://schemas.microsoft.com/office/drawing/2014/main" id="{25FE8BB1-535A-48C0-A7F8-A59A064E74DC}"/>
            </a:ext>
          </a:extLst>
        </xdr:cNvPr>
        <xdr:cNvSpPr txBox="1"/>
      </xdr:nvSpPr>
      <xdr:spPr>
        <a:xfrm>
          <a:off x="7601505" y="3938690"/>
          <a:ext cx="800518" cy="100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74744C71-8F9D-4FE9-BC23-23B9E7F7294C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27225</xdr:colOff>
      <xdr:row>22</xdr:row>
      <xdr:rowOff>39515</xdr:rowOff>
    </xdr:from>
    <xdr:to>
      <xdr:col>11</xdr:col>
      <xdr:colOff>27643</xdr:colOff>
      <xdr:row>22</xdr:row>
      <xdr:rowOff>142952</xdr:rowOff>
    </xdr:to>
    <xdr:sp macro="" textlink="[2]Info2!C22">
      <xdr:nvSpPr>
        <xdr:cNvPr id="9" name="CuadroTexto 92">
          <a:extLst>
            <a:ext uri="{FF2B5EF4-FFF2-40B4-BE49-F238E27FC236}">
              <a16:creationId xmlns:a16="http://schemas.microsoft.com/office/drawing/2014/main" id="{EE1CDF25-A976-4176-9ABE-B3D77DFCED14}"/>
            </a:ext>
          </a:extLst>
        </xdr:cNvPr>
        <xdr:cNvSpPr txBox="1"/>
      </xdr:nvSpPr>
      <xdr:spPr>
        <a:xfrm>
          <a:off x="7601505" y="4062875"/>
          <a:ext cx="800518" cy="103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10F05FD-E04B-4677-AA2B-94CE6CC24839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27225</xdr:colOff>
      <xdr:row>22</xdr:row>
      <xdr:rowOff>161023</xdr:rowOff>
    </xdr:from>
    <xdr:to>
      <xdr:col>11</xdr:col>
      <xdr:colOff>27643</xdr:colOff>
      <xdr:row>23</xdr:row>
      <xdr:rowOff>79109</xdr:rowOff>
    </xdr:to>
    <xdr:sp macro="" textlink="[2]Info2!C23">
      <xdr:nvSpPr>
        <xdr:cNvPr id="10" name="CuadroTexto 93">
          <a:extLst>
            <a:ext uri="{FF2B5EF4-FFF2-40B4-BE49-F238E27FC236}">
              <a16:creationId xmlns:a16="http://schemas.microsoft.com/office/drawing/2014/main" id="{2562FA91-FE15-4416-B181-89FE340A0AA6}"/>
            </a:ext>
          </a:extLst>
        </xdr:cNvPr>
        <xdr:cNvSpPr txBox="1"/>
      </xdr:nvSpPr>
      <xdr:spPr>
        <a:xfrm>
          <a:off x="7601505" y="4184383"/>
          <a:ext cx="800518" cy="100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DC7C65D-3C12-4756-9393-21D1DD74BCE9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27225</xdr:colOff>
      <xdr:row>23</xdr:row>
      <xdr:rowOff>97180</xdr:rowOff>
    </xdr:from>
    <xdr:to>
      <xdr:col>11</xdr:col>
      <xdr:colOff>27643</xdr:colOff>
      <xdr:row>24</xdr:row>
      <xdr:rowOff>15266</xdr:rowOff>
    </xdr:to>
    <xdr:sp macro="" textlink="[2]Info2!C24">
      <xdr:nvSpPr>
        <xdr:cNvPr id="11" name="CuadroTexto 102">
          <a:extLst>
            <a:ext uri="{FF2B5EF4-FFF2-40B4-BE49-F238E27FC236}">
              <a16:creationId xmlns:a16="http://schemas.microsoft.com/office/drawing/2014/main" id="{F5AD4CAC-E88B-41A1-8600-EE922F6BA101}"/>
            </a:ext>
          </a:extLst>
        </xdr:cNvPr>
        <xdr:cNvSpPr txBox="1"/>
      </xdr:nvSpPr>
      <xdr:spPr>
        <a:xfrm>
          <a:off x="7601505" y="4303420"/>
          <a:ext cx="800518" cy="1009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204EDD5C-330A-4684-9B9E-0E9F1FB6A7BD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20</xdr:row>
      <xdr:rowOff>150946</xdr:rowOff>
    </xdr:from>
    <xdr:to>
      <xdr:col>13</xdr:col>
      <xdr:colOff>73142</xdr:colOff>
      <xdr:row>21</xdr:row>
      <xdr:rowOff>101599</xdr:rowOff>
    </xdr:to>
    <xdr:sp macro="" textlink="[2]Info2!E20">
      <xdr:nvSpPr>
        <xdr:cNvPr id="12" name="CuadroTexto 107">
          <a:extLst>
            <a:ext uri="{FF2B5EF4-FFF2-40B4-BE49-F238E27FC236}">
              <a16:creationId xmlns:a16="http://schemas.microsoft.com/office/drawing/2014/main" id="{ECE5A8F8-ABC2-4984-9814-7D3D0C9F7D7A}"/>
            </a:ext>
          </a:extLst>
        </xdr:cNvPr>
        <xdr:cNvSpPr txBox="1"/>
      </xdr:nvSpPr>
      <xdr:spPr>
        <a:xfrm>
          <a:off x="8311326" y="3808546"/>
          <a:ext cx="1119176" cy="13353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8C01FCF0-D161-4941-AE2B-D3A2DB4CF9D9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22</xdr:row>
      <xdr:rowOff>37254</xdr:rowOff>
    </xdr:from>
    <xdr:to>
      <xdr:col>13</xdr:col>
      <xdr:colOff>73142</xdr:colOff>
      <xdr:row>22</xdr:row>
      <xdr:rowOff>177799</xdr:rowOff>
    </xdr:to>
    <xdr:sp macro="" textlink="[2]Info2!E22">
      <xdr:nvSpPr>
        <xdr:cNvPr id="14" name="CuadroTexto 109">
          <a:extLst>
            <a:ext uri="{FF2B5EF4-FFF2-40B4-BE49-F238E27FC236}">
              <a16:creationId xmlns:a16="http://schemas.microsoft.com/office/drawing/2014/main" id="{3DB1D9A7-B2DA-4E0F-9DD7-98DA2F1D92DB}"/>
            </a:ext>
          </a:extLst>
        </xdr:cNvPr>
        <xdr:cNvSpPr txBox="1"/>
      </xdr:nvSpPr>
      <xdr:spPr>
        <a:xfrm>
          <a:off x="8311326" y="4060614"/>
          <a:ext cx="1119176" cy="1405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0284DADF-60F7-4E07-8FBB-B03FCE485A75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23</xdr:row>
      <xdr:rowOff>990</xdr:rowOff>
    </xdr:from>
    <xdr:to>
      <xdr:col>13</xdr:col>
      <xdr:colOff>73142</xdr:colOff>
      <xdr:row>23</xdr:row>
      <xdr:rowOff>141390</xdr:rowOff>
    </xdr:to>
    <xdr:sp macro="" textlink="[2]Info2!E23">
      <xdr:nvSpPr>
        <xdr:cNvPr id="15" name="CuadroTexto 110">
          <a:extLst>
            <a:ext uri="{FF2B5EF4-FFF2-40B4-BE49-F238E27FC236}">
              <a16:creationId xmlns:a16="http://schemas.microsoft.com/office/drawing/2014/main" id="{B5392AB9-2B66-4A4D-8A2C-998A8CB88A84}"/>
            </a:ext>
          </a:extLst>
        </xdr:cNvPr>
        <xdr:cNvSpPr txBox="1"/>
      </xdr:nvSpPr>
      <xdr:spPr>
        <a:xfrm>
          <a:off x="8311326" y="4207230"/>
          <a:ext cx="1119176" cy="140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16DFFA54-EF34-44C6-BBC1-EB0A40A48B9B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737046</xdr:colOff>
      <xdr:row>23</xdr:row>
      <xdr:rowOff>117955</xdr:rowOff>
    </xdr:from>
    <xdr:to>
      <xdr:col>13</xdr:col>
      <xdr:colOff>73142</xdr:colOff>
      <xdr:row>24</xdr:row>
      <xdr:rowOff>74424</xdr:rowOff>
    </xdr:to>
    <xdr:sp macro="" textlink="[2]Info2!E24">
      <xdr:nvSpPr>
        <xdr:cNvPr id="16" name="CuadroTexto 111">
          <a:extLst>
            <a:ext uri="{FF2B5EF4-FFF2-40B4-BE49-F238E27FC236}">
              <a16:creationId xmlns:a16="http://schemas.microsoft.com/office/drawing/2014/main" id="{1C39F0F4-720C-4B27-95CB-88CD67B1FE76}"/>
            </a:ext>
          </a:extLst>
        </xdr:cNvPr>
        <xdr:cNvSpPr txBox="1"/>
      </xdr:nvSpPr>
      <xdr:spPr>
        <a:xfrm>
          <a:off x="8311326" y="4324195"/>
          <a:ext cx="1119176" cy="1393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fld id="{F19D933A-5D61-4562-AC66-90CE99ED44B1}" type="TxLink">
            <a:rPr lang="en-US" sz="5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l"/>
            <a:t> </a:t>
          </a:fld>
          <a:endParaRPr lang="es-MX" sz="5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518160</xdr:colOff>
      <xdr:row>0</xdr:row>
      <xdr:rowOff>0</xdr:rowOff>
    </xdr:from>
    <xdr:to>
      <xdr:col>17</xdr:col>
      <xdr:colOff>321733</xdr:colOff>
      <xdr:row>7</xdr:row>
      <xdr:rowOff>56972</xdr:rowOff>
    </xdr:to>
    <xdr:grpSp>
      <xdr:nvGrpSpPr>
        <xdr:cNvPr id="96" name="Grupo 95">
          <a:extLst>
            <a:ext uri="{FF2B5EF4-FFF2-40B4-BE49-F238E27FC236}">
              <a16:creationId xmlns:a16="http://schemas.microsoft.com/office/drawing/2014/main" id="{192563B5-8928-35DA-F067-9AD3746A6372}"/>
            </a:ext>
          </a:extLst>
        </xdr:cNvPr>
        <xdr:cNvGrpSpPr/>
      </xdr:nvGrpSpPr>
      <xdr:grpSpPr>
        <a:xfrm>
          <a:off x="3108960" y="0"/>
          <a:ext cx="9016153" cy="1337132"/>
          <a:chOff x="1815986" y="0"/>
          <a:chExt cx="7999485" cy="1330747"/>
        </a:xfrm>
      </xdr:grpSpPr>
      <xdr:sp macro="" textlink="">
        <xdr:nvSpPr>
          <xdr:cNvPr id="3" name="Rectángulo 2">
            <a:extLst>
              <a:ext uri="{FF2B5EF4-FFF2-40B4-BE49-F238E27FC236}">
                <a16:creationId xmlns:a16="http://schemas.microsoft.com/office/drawing/2014/main" id="{44D70EE7-A2C2-449B-B57D-157730CD7ACA}"/>
              </a:ext>
            </a:extLst>
          </xdr:cNvPr>
          <xdr:cNvSpPr/>
        </xdr:nvSpPr>
        <xdr:spPr>
          <a:xfrm>
            <a:off x="1815986" y="0"/>
            <a:ext cx="7980436" cy="1330747"/>
          </a:xfrm>
          <a:prstGeom prst="rect">
            <a:avLst/>
          </a:prstGeom>
          <a:solidFill>
            <a:schemeClr val="tx1">
              <a:lumMod val="95000"/>
              <a:lumOff val="5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s-MX" sz="1100"/>
          </a:p>
        </xdr:txBody>
      </xdr:sp>
      <xdr:grpSp>
        <xdr:nvGrpSpPr>
          <xdr:cNvPr id="20" name="Grupo 19">
            <a:extLst>
              <a:ext uri="{FF2B5EF4-FFF2-40B4-BE49-F238E27FC236}">
                <a16:creationId xmlns:a16="http://schemas.microsoft.com/office/drawing/2014/main" id="{786958DF-C956-4C02-9D84-9D8112AF31CF}"/>
              </a:ext>
            </a:extLst>
          </xdr:cNvPr>
          <xdr:cNvGrpSpPr/>
        </xdr:nvGrpSpPr>
        <xdr:grpSpPr>
          <a:xfrm>
            <a:off x="1847961" y="0"/>
            <a:ext cx="7967510" cy="396982"/>
            <a:chOff x="2846613" y="5177580"/>
            <a:chExt cx="6939700" cy="427349"/>
          </a:xfrm>
        </xdr:grpSpPr>
        <xdr:sp macro="" textlink="">
          <xdr:nvSpPr>
            <xdr:cNvPr id="21" name="Rectángulo 20">
              <a:extLst>
                <a:ext uri="{FF2B5EF4-FFF2-40B4-BE49-F238E27FC236}">
                  <a16:creationId xmlns:a16="http://schemas.microsoft.com/office/drawing/2014/main" id="{3A32C83C-3332-2CF2-04AA-B00AE4F6ED8F}"/>
                </a:ext>
              </a:extLst>
            </xdr:cNvPr>
            <xdr:cNvSpPr/>
          </xdr:nvSpPr>
          <xdr:spPr>
            <a:xfrm>
              <a:off x="2846613" y="5187329"/>
              <a:ext cx="6920842" cy="417600"/>
            </a:xfrm>
            <a:prstGeom prst="rect">
              <a:avLst/>
            </a:prstGeom>
            <a:solidFill>
              <a:schemeClr val="tx1">
                <a:lumMod val="95000"/>
                <a:lumOff val="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s-MX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  <xdr:pic>
          <xdr:nvPicPr>
            <xdr:cNvPr id="22" name="Imagen 21">
              <a:extLst>
                <a:ext uri="{FF2B5EF4-FFF2-40B4-BE49-F238E27FC236}">
                  <a16:creationId xmlns:a16="http://schemas.microsoft.com/office/drawing/2014/main" id="{59776349-1EAA-26C5-3EB5-02EDE0C6A003}"/>
                </a:ext>
              </a:extLst>
            </xdr:cNvPr>
            <xdr:cNvPicPr>
              <a:picLocks noChangeAspect="1" noChangeArrowheads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77195" t="-2073" b="-1"/>
            <a:stretch>
              <a:fillRect/>
            </a:stretch>
          </xdr:blipFill>
          <xdr:spPr bwMode="auto">
            <a:xfrm>
              <a:off x="8197515" y="5177580"/>
              <a:ext cx="1588798" cy="423286"/>
            </a:xfrm>
            <a:prstGeom prst="rect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">
          <xdr:nvSpPr>
            <xdr:cNvPr id="23" name="Triángulo isósceles 22">
              <a:extLst>
                <a:ext uri="{FF2B5EF4-FFF2-40B4-BE49-F238E27FC236}">
                  <a16:creationId xmlns:a16="http://schemas.microsoft.com/office/drawing/2014/main" id="{F2475D4F-F1E6-4EA0-1E3E-C2146C4CD955}"/>
                </a:ext>
              </a:extLst>
            </xdr:cNvPr>
            <xdr:cNvSpPr/>
          </xdr:nvSpPr>
          <xdr:spPr>
            <a:xfrm flipV="1">
              <a:off x="7916779" y="5185610"/>
              <a:ext cx="661737" cy="417600"/>
            </a:xfrm>
            <a:prstGeom prst="triangle">
              <a:avLst>
                <a:gd name="adj" fmla="val 41772"/>
              </a:avLst>
            </a:prstGeom>
            <a:solidFill>
              <a:schemeClr val="tx1">
                <a:lumMod val="95000"/>
                <a:lumOff val="5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s-MX" sz="1100">
                <a:solidFill>
                  <a:schemeClr val="lt1"/>
                </a:solidFill>
                <a:latin typeface="+mn-lt"/>
                <a:ea typeface="+mn-ea"/>
                <a:cs typeface="+mn-cs"/>
              </a:endParaRPr>
            </a:p>
          </xdr:txBody>
        </xdr:sp>
      </xdr:grpSp>
    </xdr:grpSp>
    <xdr:clientData/>
  </xdr:twoCellAnchor>
  <xdr:twoCellAnchor>
    <xdr:from>
      <xdr:col>4</xdr:col>
      <xdr:colOff>561454</xdr:colOff>
      <xdr:row>0</xdr:row>
      <xdr:rowOff>0</xdr:rowOff>
    </xdr:from>
    <xdr:to>
      <xdr:col>10</xdr:col>
      <xdr:colOff>7620</xdr:colOff>
      <xdr:row>2</xdr:row>
      <xdr:rowOff>68580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A065E344-4B50-4C7F-9D58-1D87F3F64B38}"/>
            </a:ext>
          </a:extLst>
        </xdr:cNvPr>
        <xdr:cNvSpPr txBox="1"/>
      </xdr:nvSpPr>
      <xdr:spPr>
        <a:xfrm>
          <a:off x="3152254" y="0"/>
          <a:ext cx="4246766" cy="4343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2000" b="1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Dashboard</a:t>
          </a:r>
          <a:r>
            <a:rPr lang="es-MX" sz="2000" b="1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 - Análisis de Ausentismos</a:t>
          </a:r>
          <a:endParaRPr lang="es-MX" sz="2000" b="1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95680</xdr:colOff>
      <xdr:row>12</xdr:row>
      <xdr:rowOff>95683</xdr:rowOff>
    </xdr:from>
    <xdr:to>
      <xdr:col>5</xdr:col>
      <xdr:colOff>121426</xdr:colOff>
      <xdr:row>16</xdr:row>
      <xdr:rowOff>69234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DB1D8C0F-EF67-49E4-8613-4D0509454467}"/>
            </a:ext>
          </a:extLst>
        </xdr:cNvPr>
        <xdr:cNvSpPr/>
      </xdr:nvSpPr>
      <xdr:spPr>
        <a:xfrm>
          <a:off x="466911" y="2283991"/>
          <a:ext cx="3230053" cy="702987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401767</xdr:colOff>
      <xdr:row>12</xdr:row>
      <xdr:rowOff>89116</xdr:rowOff>
    </xdr:from>
    <xdr:to>
      <xdr:col>3</xdr:col>
      <xdr:colOff>609600</xdr:colOff>
      <xdr:row>13</xdr:row>
      <xdr:rowOff>133350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D2B83CD8-4D41-40BF-B74F-6CA60FA8EA20}"/>
            </a:ext>
          </a:extLst>
        </xdr:cNvPr>
        <xdr:cNvSpPr txBox="1"/>
      </xdr:nvSpPr>
      <xdr:spPr>
        <a:xfrm>
          <a:off x="1575247" y="2283676"/>
          <a:ext cx="1007933" cy="2271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Ausencias</a:t>
          </a:r>
          <a:endParaRPr lang="es-MX" sz="1400" b="0">
            <a:solidFill>
              <a:srgbClr val="FF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2</xdr:col>
      <xdr:colOff>58361</xdr:colOff>
      <xdr:row>13</xdr:row>
      <xdr:rowOff>176205</xdr:rowOff>
    </xdr:from>
    <xdr:to>
      <xdr:col>4</xdr:col>
      <xdr:colOff>111760</xdr:colOff>
      <xdr:row>15</xdr:row>
      <xdr:rowOff>102972</xdr:rowOff>
    </xdr:to>
    <xdr:sp macro="" textlink="Info!J3">
      <xdr:nvSpPr>
        <xdr:cNvPr id="27" name="CuadroTexto 26">
          <a:extLst>
            <a:ext uri="{FF2B5EF4-FFF2-40B4-BE49-F238E27FC236}">
              <a16:creationId xmlns:a16="http://schemas.microsoft.com/office/drawing/2014/main" id="{508C376B-EFC9-459C-9EF3-38C6C418E064}"/>
            </a:ext>
          </a:extLst>
        </xdr:cNvPr>
        <xdr:cNvSpPr txBox="1"/>
      </xdr:nvSpPr>
      <xdr:spPr>
        <a:xfrm>
          <a:off x="1236921" y="2553645"/>
          <a:ext cx="1658679" cy="292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7CC3138-0E6A-44D5-8E60-4B6DDD355FCC}" type="TxLink">
            <a:rPr lang="en-US" sz="32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16858</a:t>
          </a:fld>
          <a:endParaRPr lang="es-MX" sz="32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95680</xdr:colOff>
      <xdr:row>17</xdr:row>
      <xdr:rowOff>34161</xdr:rowOff>
    </xdr:from>
    <xdr:to>
      <xdr:col>5</xdr:col>
      <xdr:colOff>121426</xdr:colOff>
      <xdr:row>29</xdr:row>
      <xdr:rowOff>32852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068C092C-83C8-491D-AF8A-2B042AF67254}"/>
            </a:ext>
          </a:extLst>
        </xdr:cNvPr>
        <xdr:cNvSpPr/>
      </xdr:nvSpPr>
      <xdr:spPr>
        <a:xfrm>
          <a:off x="468213" y="3128728"/>
          <a:ext cx="3226146" cy="2183091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295748</xdr:colOff>
      <xdr:row>16</xdr:row>
      <xdr:rowOff>139576</xdr:rowOff>
    </xdr:from>
    <xdr:to>
      <xdr:col>3</xdr:col>
      <xdr:colOff>643889</xdr:colOff>
      <xdr:row>18</xdr:row>
      <xdr:rowOff>31973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005B2E4B-F573-48B2-935B-87EA3B6E3ABA}"/>
            </a:ext>
          </a:extLst>
        </xdr:cNvPr>
        <xdr:cNvSpPr txBox="1"/>
      </xdr:nvSpPr>
      <xdr:spPr>
        <a:xfrm>
          <a:off x="1468630" y="3008282"/>
          <a:ext cx="1147494" cy="250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Tipo de falta</a:t>
          </a:r>
          <a:endParaRPr lang="es-MX" sz="1400" b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90164</xdr:colOff>
      <xdr:row>29</xdr:row>
      <xdr:rowOff>166799</xdr:rowOff>
    </xdr:from>
    <xdr:to>
      <xdr:col>5</xdr:col>
      <xdr:colOff>115910</xdr:colOff>
      <xdr:row>38</xdr:row>
      <xdr:rowOff>37568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FADC2263-E46C-4426-943C-A1218A723976}"/>
            </a:ext>
          </a:extLst>
        </xdr:cNvPr>
        <xdr:cNvSpPr/>
      </xdr:nvSpPr>
      <xdr:spPr>
        <a:xfrm>
          <a:off x="461395" y="5455209"/>
          <a:ext cx="3230053" cy="1512000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154442</xdr:colOff>
      <xdr:row>30</xdr:row>
      <xdr:rowOff>151430</xdr:rowOff>
    </xdr:from>
    <xdr:to>
      <xdr:col>3</xdr:col>
      <xdr:colOff>133350</xdr:colOff>
      <xdr:row>31</xdr:row>
      <xdr:rowOff>161584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198610FF-3C0E-4BBF-B02A-42DD493E9FB7}"/>
            </a:ext>
          </a:extLst>
        </xdr:cNvPr>
        <xdr:cNvSpPr txBox="1"/>
      </xdr:nvSpPr>
      <xdr:spPr>
        <a:xfrm>
          <a:off x="527822" y="5637830"/>
          <a:ext cx="1579108" cy="193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REAL AUSENT.</a:t>
          </a:r>
        </a:p>
      </xdr:txBody>
    </xdr:sp>
    <xdr:clientData/>
  </xdr:twoCellAnchor>
  <xdr:twoCellAnchor>
    <xdr:from>
      <xdr:col>1</xdr:col>
      <xdr:colOff>154442</xdr:colOff>
      <xdr:row>32</xdr:row>
      <xdr:rowOff>11790</xdr:rowOff>
    </xdr:from>
    <xdr:to>
      <xdr:col>3</xdr:col>
      <xdr:colOff>133350</xdr:colOff>
      <xdr:row>33</xdr:row>
      <xdr:rowOff>20959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DBE468FD-5456-4F95-9716-79F58028F61F}"/>
            </a:ext>
          </a:extLst>
        </xdr:cNvPr>
        <xdr:cNvSpPr txBox="1"/>
      </xdr:nvSpPr>
      <xdr:spPr>
        <a:xfrm>
          <a:off x="527822" y="5863950"/>
          <a:ext cx="1579108" cy="1920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REAL COMPR.</a:t>
          </a:r>
        </a:p>
      </xdr:txBody>
    </xdr:sp>
    <xdr:clientData/>
  </xdr:twoCellAnchor>
  <xdr:twoCellAnchor>
    <xdr:from>
      <xdr:col>1</xdr:col>
      <xdr:colOff>154442</xdr:colOff>
      <xdr:row>33</xdr:row>
      <xdr:rowOff>58083</xdr:rowOff>
    </xdr:from>
    <xdr:to>
      <xdr:col>3</xdr:col>
      <xdr:colOff>133350</xdr:colOff>
      <xdr:row>34</xdr:row>
      <xdr:rowOff>67253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4705AAFF-F062-46E5-B0AC-2871534CB9E8}"/>
            </a:ext>
          </a:extLst>
        </xdr:cNvPr>
        <xdr:cNvSpPr txBox="1"/>
      </xdr:nvSpPr>
      <xdr:spPr>
        <a:xfrm>
          <a:off x="527822" y="6093123"/>
          <a:ext cx="1579108" cy="19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 AUSENT.</a:t>
          </a:r>
        </a:p>
      </xdr:txBody>
    </xdr:sp>
    <xdr:clientData/>
  </xdr:twoCellAnchor>
  <xdr:twoCellAnchor>
    <xdr:from>
      <xdr:col>1</xdr:col>
      <xdr:colOff>154442</xdr:colOff>
      <xdr:row>34</xdr:row>
      <xdr:rowOff>100339</xdr:rowOff>
    </xdr:from>
    <xdr:to>
      <xdr:col>3</xdr:col>
      <xdr:colOff>133350</xdr:colOff>
      <xdr:row>35</xdr:row>
      <xdr:rowOff>109509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D68F1748-1AC2-40CC-8519-1157F87559BD}"/>
            </a:ext>
          </a:extLst>
        </xdr:cNvPr>
        <xdr:cNvSpPr txBox="1"/>
      </xdr:nvSpPr>
      <xdr:spPr>
        <a:xfrm>
          <a:off x="527822" y="6318259"/>
          <a:ext cx="1579108" cy="192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 COMPR.</a:t>
          </a:r>
        </a:p>
      </xdr:txBody>
    </xdr:sp>
    <xdr:clientData/>
  </xdr:twoCellAnchor>
  <xdr:twoCellAnchor>
    <xdr:from>
      <xdr:col>1</xdr:col>
      <xdr:colOff>154442</xdr:colOff>
      <xdr:row>35</xdr:row>
      <xdr:rowOff>140345</xdr:rowOff>
    </xdr:from>
    <xdr:to>
      <xdr:col>3</xdr:col>
      <xdr:colOff>133350</xdr:colOff>
      <xdr:row>36</xdr:row>
      <xdr:rowOff>149516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9E06FD7D-D9C3-49DF-90CA-1AD659C61655}"/>
            </a:ext>
          </a:extLst>
        </xdr:cNvPr>
        <xdr:cNvSpPr txBox="1"/>
      </xdr:nvSpPr>
      <xdr:spPr>
        <a:xfrm>
          <a:off x="527822" y="6541145"/>
          <a:ext cx="1579108" cy="192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600" b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DIF +/-</a:t>
          </a:r>
        </a:p>
      </xdr:txBody>
    </xdr:sp>
    <xdr:clientData/>
  </xdr:twoCellAnchor>
  <xdr:twoCellAnchor>
    <xdr:from>
      <xdr:col>3</xdr:col>
      <xdr:colOff>667081</xdr:colOff>
      <xdr:row>30</xdr:row>
      <xdr:rowOff>151430</xdr:rowOff>
    </xdr:from>
    <xdr:to>
      <xdr:col>4</xdr:col>
      <xdr:colOff>644891</xdr:colOff>
      <xdr:row>32</xdr:row>
      <xdr:rowOff>707</xdr:rowOff>
    </xdr:to>
    <xdr:sp macro="" textlink="[1]Info!K3">
      <xdr:nvSpPr>
        <xdr:cNvPr id="37" name="CuadroTexto 36">
          <a:extLst>
            <a:ext uri="{FF2B5EF4-FFF2-40B4-BE49-F238E27FC236}">
              <a16:creationId xmlns:a16="http://schemas.microsoft.com/office/drawing/2014/main" id="{5281B4A9-0CB4-4B47-A9E2-C64BCA944F5E}"/>
            </a:ext>
          </a:extLst>
        </xdr:cNvPr>
        <xdr:cNvSpPr txBox="1"/>
      </xdr:nvSpPr>
      <xdr:spPr>
        <a:xfrm>
          <a:off x="2640661" y="5637830"/>
          <a:ext cx="777910" cy="215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3FFCEA6-CF98-4A1F-8C7B-E107ABADC985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0.00%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667081</xdr:colOff>
      <xdr:row>32</xdr:row>
      <xdr:rowOff>6690</xdr:rowOff>
    </xdr:from>
    <xdr:to>
      <xdr:col>4</xdr:col>
      <xdr:colOff>644891</xdr:colOff>
      <xdr:row>33</xdr:row>
      <xdr:rowOff>40300</xdr:rowOff>
    </xdr:to>
    <xdr:sp macro="" textlink="[1]Info!L3">
      <xdr:nvSpPr>
        <xdr:cNvPr id="38" name="CuadroTexto 37">
          <a:extLst>
            <a:ext uri="{FF2B5EF4-FFF2-40B4-BE49-F238E27FC236}">
              <a16:creationId xmlns:a16="http://schemas.microsoft.com/office/drawing/2014/main" id="{8B3C1E93-B6B7-4685-AF0B-27F3D4C56121}"/>
            </a:ext>
          </a:extLst>
        </xdr:cNvPr>
        <xdr:cNvSpPr txBox="1"/>
      </xdr:nvSpPr>
      <xdr:spPr>
        <a:xfrm>
          <a:off x="2640661" y="5858850"/>
          <a:ext cx="777910" cy="216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DFCA291-E403-4E18-98DC-C0C6E8E7BA41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0.00%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667081</xdr:colOff>
      <xdr:row>33</xdr:row>
      <xdr:rowOff>46283</xdr:rowOff>
    </xdr:from>
    <xdr:to>
      <xdr:col>4</xdr:col>
      <xdr:colOff>644891</xdr:colOff>
      <xdr:row>34</xdr:row>
      <xdr:rowOff>77454</xdr:rowOff>
    </xdr:to>
    <xdr:sp macro="" textlink="[1]Info!M3">
      <xdr:nvSpPr>
        <xdr:cNvPr id="39" name="CuadroTexto 38">
          <a:extLst>
            <a:ext uri="{FF2B5EF4-FFF2-40B4-BE49-F238E27FC236}">
              <a16:creationId xmlns:a16="http://schemas.microsoft.com/office/drawing/2014/main" id="{A32E6454-2F20-482E-8BF6-2F94092341FB}"/>
            </a:ext>
          </a:extLst>
        </xdr:cNvPr>
        <xdr:cNvSpPr txBox="1"/>
      </xdr:nvSpPr>
      <xdr:spPr>
        <a:xfrm>
          <a:off x="2640661" y="6081323"/>
          <a:ext cx="777910" cy="2140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ED9C584-27A3-4F85-A90C-56C535ABDDBC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0.00%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667081</xdr:colOff>
      <xdr:row>34</xdr:row>
      <xdr:rowOff>83437</xdr:rowOff>
    </xdr:from>
    <xdr:to>
      <xdr:col>4</xdr:col>
      <xdr:colOff>644891</xdr:colOff>
      <xdr:row>35</xdr:row>
      <xdr:rowOff>115131</xdr:rowOff>
    </xdr:to>
    <xdr:sp macro="" textlink="[1]Info!N3">
      <xdr:nvSpPr>
        <xdr:cNvPr id="40" name="CuadroTexto 39">
          <a:extLst>
            <a:ext uri="{FF2B5EF4-FFF2-40B4-BE49-F238E27FC236}">
              <a16:creationId xmlns:a16="http://schemas.microsoft.com/office/drawing/2014/main" id="{92EB77E2-8EBB-40A2-A294-936E39908CE9}"/>
            </a:ext>
          </a:extLst>
        </xdr:cNvPr>
        <xdr:cNvSpPr txBox="1"/>
      </xdr:nvSpPr>
      <xdr:spPr>
        <a:xfrm>
          <a:off x="2640661" y="6301357"/>
          <a:ext cx="777910" cy="2145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45E02C8-5E58-4228-841C-E110BCBFA639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100.00%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667081</xdr:colOff>
      <xdr:row>35</xdr:row>
      <xdr:rowOff>121114</xdr:rowOff>
    </xdr:from>
    <xdr:to>
      <xdr:col>4</xdr:col>
      <xdr:colOff>644891</xdr:colOff>
      <xdr:row>36</xdr:row>
      <xdr:rowOff>149516</xdr:rowOff>
    </xdr:to>
    <xdr:sp macro="" textlink="[1]Info!O3">
      <xdr:nvSpPr>
        <xdr:cNvPr id="41" name="CuadroTexto 40">
          <a:extLst>
            <a:ext uri="{FF2B5EF4-FFF2-40B4-BE49-F238E27FC236}">
              <a16:creationId xmlns:a16="http://schemas.microsoft.com/office/drawing/2014/main" id="{27A58B88-7B1E-4583-B371-8DB52DB19D2B}"/>
            </a:ext>
          </a:extLst>
        </xdr:cNvPr>
        <xdr:cNvSpPr txBox="1"/>
      </xdr:nvSpPr>
      <xdr:spPr>
        <a:xfrm>
          <a:off x="2640661" y="6521914"/>
          <a:ext cx="777910" cy="21128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9D8245A-9433-4301-AFA1-3EB4F3DA63C1}" type="TxLink">
            <a:rPr lang="en-US" sz="14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0.00%</a:t>
          </a:fld>
          <a:endParaRPr lang="es-MX" sz="14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44350</xdr:colOff>
      <xdr:row>26</xdr:row>
      <xdr:rowOff>30427</xdr:rowOff>
    </xdr:from>
    <xdr:to>
      <xdr:col>9</xdr:col>
      <xdr:colOff>32034</xdr:colOff>
      <xdr:row>27</xdr:row>
      <xdr:rowOff>71796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05223CFC-CEED-4762-BF32-1B6A1A0A364F}"/>
            </a:ext>
          </a:extLst>
        </xdr:cNvPr>
        <xdr:cNvSpPr txBox="1"/>
      </xdr:nvSpPr>
      <xdr:spPr>
        <a:xfrm>
          <a:off x="5218330" y="4785307"/>
          <a:ext cx="1587884" cy="2242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0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Ausencia Real Modelo</a:t>
          </a:r>
        </a:p>
      </xdr:txBody>
    </xdr:sp>
    <xdr:clientData/>
  </xdr:twoCellAnchor>
  <xdr:twoCellAnchor>
    <xdr:from>
      <xdr:col>5</xdr:col>
      <xdr:colOff>261919</xdr:colOff>
      <xdr:row>6</xdr:row>
      <xdr:rowOff>0</xdr:rowOff>
    </xdr:from>
    <xdr:to>
      <xdr:col>14</xdr:col>
      <xdr:colOff>259430</xdr:colOff>
      <xdr:row>21</xdr:row>
      <xdr:rowOff>118589</xdr:rowOff>
    </xdr:to>
    <xdr:sp macro="" textlink="">
      <xdr:nvSpPr>
        <xdr:cNvPr id="46" name="Rectángulo: esquinas redondeadas 45">
          <a:extLst>
            <a:ext uri="{FF2B5EF4-FFF2-40B4-BE49-F238E27FC236}">
              <a16:creationId xmlns:a16="http://schemas.microsoft.com/office/drawing/2014/main" id="{0F585398-2280-489B-9D4B-C49FBEA00E88}"/>
            </a:ext>
          </a:extLst>
        </xdr:cNvPr>
        <xdr:cNvSpPr/>
      </xdr:nvSpPr>
      <xdr:spPr>
        <a:xfrm>
          <a:off x="3853047" y="1118681"/>
          <a:ext cx="6588000" cy="2915291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261959</xdr:colOff>
      <xdr:row>22</xdr:row>
      <xdr:rowOff>98273</xdr:rowOff>
    </xdr:from>
    <xdr:to>
      <xdr:col>14</xdr:col>
      <xdr:colOff>259470</xdr:colOff>
      <xdr:row>38</xdr:row>
      <xdr:rowOff>37568</xdr:rowOff>
    </xdr:to>
    <xdr:sp macro="" textlink="">
      <xdr:nvSpPr>
        <xdr:cNvPr id="47" name="Rectángulo: esquinas redondeadas 46">
          <a:extLst>
            <a:ext uri="{FF2B5EF4-FFF2-40B4-BE49-F238E27FC236}">
              <a16:creationId xmlns:a16="http://schemas.microsoft.com/office/drawing/2014/main" id="{59EACF7E-B899-4379-A71C-ACE4449D3C43}"/>
            </a:ext>
          </a:extLst>
        </xdr:cNvPr>
        <xdr:cNvSpPr/>
      </xdr:nvSpPr>
      <xdr:spPr>
        <a:xfrm>
          <a:off x="3853087" y="4200103"/>
          <a:ext cx="6588000" cy="2922444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296897</xdr:colOff>
      <xdr:row>22</xdr:row>
      <xdr:rowOff>146885</xdr:rowOff>
    </xdr:from>
    <xdr:to>
      <xdr:col>8</xdr:col>
      <xdr:colOff>209175</xdr:colOff>
      <xdr:row>24</xdr:row>
      <xdr:rowOff>59765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6C722314-C298-4C89-8E5E-12591138CA8F}"/>
            </a:ext>
          </a:extLst>
        </xdr:cNvPr>
        <xdr:cNvSpPr txBox="1"/>
      </xdr:nvSpPr>
      <xdr:spPr>
        <a:xfrm>
          <a:off x="3867838" y="4091356"/>
          <a:ext cx="2310337" cy="271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Compromiso Plan vs Real</a:t>
          </a:r>
        </a:p>
      </xdr:txBody>
    </xdr:sp>
    <xdr:clientData/>
  </xdr:twoCellAnchor>
  <xdr:twoCellAnchor>
    <xdr:from>
      <xdr:col>13</xdr:col>
      <xdr:colOff>43391</xdr:colOff>
      <xdr:row>23</xdr:row>
      <xdr:rowOff>51620</xdr:rowOff>
    </xdr:from>
    <xdr:to>
      <xdr:col>14</xdr:col>
      <xdr:colOff>149110</xdr:colOff>
      <xdr:row>23</xdr:row>
      <xdr:rowOff>138106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CA6CFC6F-1D00-413E-ACB6-3A7082BD3250}"/>
            </a:ext>
          </a:extLst>
        </xdr:cNvPr>
        <xdr:cNvSpPr txBox="1"/>
      </xdr:nvSpPr>
      <xdr:spPr>
        <a:xfrm>
          <a:off x="9404013" y="4271928"/>
          <a:ext cx="890656" cy="864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 COMPR.</a:t>
          </a:r>
        </a:p>
      </xdr:txBody>
    </xdr:sp>
    <xdr:clientData/>
  </xdr:twoCellAnchor>
  <xdr:twoCellAnchor>
    <xdr:from>
      <xdr:col>13</xdr:col>
      <xdr:colOff>42728</xdr:colOff>
      <xdr:row>23</xdr:row>
      <xdr:rowOff>178486</xdr:rowOff>
    </xdr:from>
    <xdr:to>
      <xdr:col>14</xdr:col>
      <xdr:colOff>149111</xdr:colOff>
      <xdr:row>24</xdr:row>
      <xdr:rowOff>85374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C1A58554-7965-48AA-9584-729AA7515F03}"/>
            </a:ext>
          </a:extLst>
        </xdr:cNvPr>
        <xdr:cNvSpPr txBox="1"/>
      </xdr:nvSpPr>
      <xdr:spPr>
        <a:xfrm>
          <a:off x="9403350" y="4398794"/>
          <a:ext cx="891320" cy="90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REAL COMPR.</a:t>
          </a:r>
        </a:p>
      </xdr:txBody>
    </xdr:sp>
    <xdr:clientData/>
  </xdr:twoCellAnchor>
  <xdr:twoCellAnchor>
    <xdr:from>
      <xdr:col>14</xdr:col>
      <xdr:colOff>194586</xdr:colOff>
      <xdr:row>23</xdr:row>
      <xdr:rowOff>65315</xdr:rowOff>
    </xdr:from>
    <xdr:to>
      <xdr:col>14</xdr:col>
      <xdr:colOff>239525</xdr:colOff>
      <xdr:row>23</xdr:row>
      <xdr:rowOff>112115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11B9DA2F-1F75-4260-9DFD-7E1587DD8BC0}"/>
            </a:ext>
          </a:extLst>
        </xdr:cNvPr>
        <xdr:cNvSpPr/>
      </xdr:nvSpPr>
      <xdr:spPr>
        <a:xfrm>
          <a:off x="10340145" y="4285623"/>
          <a:ext cx="44939" cy="468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190833</xdr:colOff>
      <xdr:row>24</xdr:row>
      <xdr:rowOff>20416</xdr:rowOff>
    </xdr:from>
    <xdr:to>
      <xdr:col>14</xdr:col>
      <xdr:colOff>235772</xdr:colOff>
      <xdr:row>24</xdr:row>
      <xdr:rowOff>67216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535AE0F1-8945-45E9-929D-10197502AF91}"/>
            </a:ext>
          </a:extLst>
        </xdr:cNvPr>
        <xdr:cNvSpPr/>
      </xdr:nvSpPr>
      <xdr:spPr>
        <a:xfrm>
          <a:off x="10336392" y="4424215"/>
          <a:ext cx="44939" cy="46800"/>
        </a:xfrm>
        <a:prstGeom prst="rect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>
              <a:solidFill>
                <a:schemeClr val="accent2">
                  <a:lumMod val="75000"/>
                </a:schemeClr>
              </a:solidFill>
            </a:ln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161235</xdr:colOff>
      <xdr:row>28</xdr:row>
      <xdr:rowOff>83865</xdr:rowOff>
    </xdr:from>
    <xdr:to>
      <xdr:col>3</xdr:col>
      <xdr:colOff>603450</xdr:colOff>
      <xdr:row>29</xdr:row>
      <xdr:rowOff>29532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F4F651D7-697A-4409-825B-98CDC0C059AC}"/>
            </a:ext>
          </a:extLst>
        </xdr:cNvPr>
        <xdr:cNvSpPr txBox="1"/>
      </xdr:nvSpPr>
      <xdr:spPr>
        <a:xfrm>
          <a:off x="2135508" y="5197452"/>
          <a:ext cx="442215" cy="128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FI</a:t>
          </a:r>
        </a:p>
      </xdr:txBody>
    </xdr:sp>
    <xdr:clientData/>
  </xdr:twoCellAnchor>
  <xdr:twoCellAnchor>
    <xdr:from>
      <xdr:col>3</xdr:col>
      <xdr:colOff>758415</xdr:colOff>
      <xdr:row>28</xdr:row>
      <xdr:rowOff>83865</xdr:rowOff>
    </xdr:from>
    <xdr:to>
      <xdr:col>4</xdr:col>
      <xdr:colOff>400530</xdr:colOff>
      <xdr:row>29</xdr:row>
      <xdr:rowOff>35767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3EE9FB2A-C91A-46BB-B639-A6B718837BDC}"/>
            </a:ext>
          </a:extLst>
        </xdr:cNvPr>
        <xdr:cNvSpPr txBox="1"/>
      </xdr:nvSpPr>
      <xdr:spPr>
        <a:xfrm>
          <a:off x="2732688" y="5197452"/>
          <a:ext cx="441900" cy="1345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PSG</a:t>
          </a:r>
        </a:p>
      </xdr:txBody>
    </xdr:sp>
    <xdr:clientData/>
  </xdr:twoCellAnchor>
  <xdr:twoCellAnchor>
    <xdr:from>
      <xdr:col>1</xdr:col>
      <xdr:colOff>625191</xdr:colOff>
      <xdr:row>28</xdr:row>
      <xdr:rowOff>83865</xdr:rowOff>
    </xdr:from>
    <xdr:to>
      <xdr:col>2</xdr:col>
      <xdr:colOff>267306</xdr:colOff>
      <xdr:row>29</xdr:row>
      <xdr:rowOff>29535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6BAE8966-5369-4B73-8025-C07A071A2E18}"/>
            </a:ext>
          </a:extLst>
        </xdr:cNvPr>
        <xdr:cNvSpPr txBox="1"/>
      </xdr:nvSpPr>
      <xdr:spPr>
        <a:xfrm>
          <a:off x="999893" y="5197452"/>
          <a:ext cx="441901" cy="128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EG</a:t>
          </a:r>
        </a:p>
      </xdr:txBody>
    </xdr:sp>
    <xdr:clientData/>
  </xdr:twoCellAnchor>
  <xdr:twoCellAnchor>
    <xdr:from>
      <xdr:col>2</xdr:col>
      <xdr:colOff>390241</xdr:colOff>
      <xdr:row>28</xdr:row>
      <xdr:rowOff>83865</xdr:rowOff>
    </xdr:from>
    <xdr:to>
      <xdr:col>3</xdr:col>
      <xdr:colOff>33537</xdr:colOff>
      <xdr:row>29</xdr:row>
      <xdr:rowOff>26747</xdr:rowOff>
    </xdr:to>
    <xdr:sp macro="" textlink="">
      <xdr:nvSpPr>
        <xdr:cNvPr id="64" name="CuadroTexto 63">
          <a:extLst>
            <a:ext uri="{FF2B5EF4-FFF2-40B4-BE49-F238E27FC236}">
              <a16:creationId xmlns:a16="http://schemas.microsoft.com/office/drawing/2014/main" id="{24945B1D-7DC9-4EBD-8E78-BEEFDC8CE9E1}"/>
            </a:ext>
          </a:extLst>
        </xdr:cNvPr>
        <xdr:cNvSpPr txBox="1"/>
      </xdr:nvSpPr>
      <xdr:spPr>
        <a:xfrm>
          <a:off x="1564729" y="5197452"/>
          <a:ext cx="443081" cy="1255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9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RT</a:t>
          </a:r>
        </a:p>
      </xdr:txBody>
    </xdr:sp>
    <xdr:clientData/>
  </xdr:twoCellAnchor>
  <xdr:twoCellAnchor>
    <xdr:from>
      <xdr:col>3</xdr:col>
      <xdr:colOff>613335</xdr:colOff>
      <xdr:row>28</xdr:row>
      <xdr:rowOff>121966</xdr:rowOff>
    </xdr:from>
    <xdr:to>
      <xdr:col>3</xdr:col>
      <xdr:colOff>660135</xdr:colOff>
      <xdr:row>28</xdr:row>
      <xdr:rowOff>168766</xdr:rowOff>
    </xdr:to>
    <xdr:sp macro="" textlink="">
      <xdr:nvSpPr>
        <xdr:cNvPr id="65" name="Rectángulo 64">
          <a:extLst>
            <a:ext uri="{FF2B5EF4-FFF2-40B4-BE49-F238E27FC236}">
              <a16:creationId xmlns:a16="http://schemas.microsoft.com/office/drawing/2014/main" id="{F921DE31-CDA4-4463-8B46-8E78775FC371}"/>
            </a:ext>
          </a:extLst>
        </xdr:cNvPr>
        <xdr:cNvSpPr/>
      </xdr:nvSpPr>
      <xdr:spPr>
        <a:xfrm>
          <a:off x="2587608" y="5235553"/>
          <a:ext cx="46800" cy="46800"/>
        </a:xfrm>
        <a:prstGeom prst="rect">
          <a:avLst/>
        </a:prstGeom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4</xdr:col>
      <xdr:colOff>410415</xdr:colOff>
      <xdr:row>28</xdr:row>
      <xdr:rowOff>121966</xdr:rowOff>
    </xdr:from>
    <xdr:to>
      <xdr:col>4</xdr:col>
      <xdr:colOff>457215</xdr:colOff>
      <xdr:row>28</xdr:row>
      <xdr:rowOff>168766</xdr:rowOff>
    </xdr:to>
    <xdr:sp macro="" textlink="">
      <xdr:nvSpPr>
        <xdr:cNvPr id="66" name="Rectángulo 65">
          <a:extLst>
            <a:ext uri="{FF2B5EF4-FFF2-40B4-BE49-F238E27FC236}">
              <a16:creationId xmlns:a16="http://schemas.microsoft.com/office/drawing/2014/main" id="{F9316DCF-FAED-4AD5-A9A8-9108598C3AFE}"/>
            </a:ext>
          </a:extLst>
        </xdr:cNvPr>
        <xdr:cNvSpPr/>
      </xdr:nvSpPr>
      <xdr:spPr>
        <a:xfrm>
          <a:off x="3184473" y="5235553"/>
          <a:ext cx="46800" cy="46800"/>
        </a:xfrm>
        <a:prstGeom prst="rect">
          <a:avLst/>
        </a:prstGeom>
        <a:solidFill>
          <a:schemeClr val="accent2"/>
        </a:solidFill>
        <a:ln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>
              <a:solidFill>
                <a:schemeClr val="accent2">
                  <a:lumMod val="75000"/>
                </a:schemeClr>
              </a:solidFill>
            </a:ln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2</xdr:col>
      <xdr:colOff>276837</xdr:colOff>
      <xdr:row>28</xdr:row>
      <xdr:rowOff>121966</xdr:rowOff>
    </xdr:from>
    <xdr:to>
      <xdr:col>2</xdr:col>
      <xdr:colOff>323637</xdr:colOff>
      <xdr:row>28</xdr:row>
      <xdr:rowOff>168766</xdr:rowOff>
    </xdr:to>
    <xdr:sp macro="" textlink="">
      <xdr:nvSpPr>
        <xdr:cNvPr id="67" name="Rectángulo 66">
          <a:extLst>
            <a:ext uri="{FF2B5EF4-FFF2-40B4-BE49-F238E27FC236}">
              <a16:creationId xmlns:a16="http://schemas.microsoft.com/office/drawing/2014/main" id="{30B6080B-1C87-47E5-8AFD-7AF79DA6C698}"/>
            </a:ext>
          </a:extLst>
        </xdr:cNvPr>
        <xdr:cNvSpPr/>
      </xdr:nvSpPr>
      <xdr:spPr>
        <a:xfrm>
          <a:off x="1451325" y="5235553"/>
          <a:ext cx="46800" cy="46800"/>
        </a:xfrm>
        <a:prstGeom prst="rect">
          <a:avLst/>
        </a:prstGeom>
        <a:solidFill>
          <a:schemeClr val="bg1">
            <a:lumMod val="6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3</xdr:col>
      <xdr:colOff>42202</xdr:colOff>
      <xdr:row>28</xdr:row>
      <xdr:rowOff>123945</xdr:rowOff>
    </xdr:from>
    <xdr:to>
      <xdr:col>3</xdr:col>
      <xdr:colOff>89002</xdr:colOff>
      <xdr:row>28</xdr:row>
      <xdr:rowOff>168766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5C2976B1-0DE1-4D9B-9084-2470EF42824F}"/>
            </a:ext>
          </a:extLst>
        </xdr:cNvPr>
        <xdr:cNvSpPr/>
      </xdr:nvSpPr>
      <xdr:spPr>
        <a:xfrm>
          <a:off x="2016475" y="5237532"/>
          <a:ext cx="46800" cy="44821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accent4">
              <a:lumMod val="60000"/>
              <a:lumOff val="4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444700</xdr:colOff>
      <xdr:row>6</xdr:row>
      <xdr:rowOff>2278</xdr:rowOff>
    </xdr:from>
    <xdr:to>
      <xdr:col>20</xdr:col>
      <xdr:colOff>378700</xdr:colOff>
      <xdr:row>16</xdr:row>
      <xdr:rowOff>136769</xdr:rowOff>
    </xdr:to>
    <xdr:sp macro="" textlink="">
      <xdr:nvSpPr>
        <xdr:cNvPr id="69" name="Rectángulo: esquinas redondeadas 68">
          <a:extLst>
            <a:ext uri="{FF2B5EF4-FFF2-40B4-BE49-F238E27FC236}">
              <a16:creationId xmlns:a16="http://schemas.microsoft.com/office/drawing/2014/main" id="{9DAC879F-6C9B-4DB4-9ABA-395C4E2EE5EA}"/>
            </a:ext>
          </a:extLst>
        </xdr:cNvPr>
        <xdr:cNvSpPr/>
      </xdr:nvSpPr>
      <xdr:spPr>
        <a:xfrm>
          <a:off x="10404040" y="1099558"/>
          <a:ext cx="3744000" cy="1963291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444700</xdr:colOff>
      <xdr:row>17</xdr:row>
      <xdr:rowOff>84666</xdr:rowOff>
    </xdr:from>
    <xdr:to>
      <xdr:col>20</xdr:col>
      <xdr:colOff>378700</xdr:colOff>
      <xdr:row>38</xdr:row>
      <xdr:rowOff>37568</xdr:rowOff>
    </xdr:to>
    <xdr:sp macro="" textlink="">
      <xdr:nvSpPr>
        <xdr:cNvPr id="70" name="Rectángulo: esquinas redondeadas 69">
          <a:extLst>
            <a:ext uri="{FF2B5EF4-FFF2-40B4-BE49-F238E27FC236}">
              <a16:creationId xmlns:a16="http://schemas.microsoft.com/office/drawing/2014/main" id="{725B2D67-397C-4C9D-870E-1F679B092AF2}"/>
            </a:ext>
          </a:extLst>
        </xdr:cNvPr>
        <xdr:cNvSpPr/>
      </xdr:nvSpPr>
      <xdr:spPr>
        <a:xfrm>
          <a:off x="10404040" y="3193626"/>
          <a:ext cx="3744000" cy="3793382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14</xdr:col>
      <xdr:colOff>485332</xdr:colOff>
      <xdr:row>6</xdr:row>
      <xdr:rowOff>0</xdr:rowOff>
    </xdr:from>
    <xdr:to>
      <xdr:col>18</xdr:col>
      <xdr:colOff>276412</xdr:colOff>
      <xdr:row>7</xdr:row>
      <xdr:rowOff>82176</xdr:rowOff>
    </xdr:to>
    <xdr:sp macro="" textlink="">
      <xdr:nvSpPr>
        <xdr:cNvPr id="71" name="CuadroTexto 70">
          <a:extLst>
            <a:ext uri="{FF2B5EF4-FFF2-40B4-BE49-F238E27FC236}">
              <a16:creationId xmlns:a16="http://schemas.microsoft.com/office/drawing/2014/main" id="{6ECF1793-13C0-4A3B-8003-50252FA8386D}"/>
            </a:ext>
          </a:extLst>
        </xdr:cNvPr>
        <xdr:cNvSpPr txBox="1"/>
      </xdr:nvSpPr>
      <xdr:spPr>
        <a:xfrm>
          <a:off x="10615450" y="1075765"/>
          <a:ext cx="2413256" cy="2614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Promedio de ausencia Real</a:t>
          </a:r>
        </a:p>
      </xdr:txBody>
    </xdr:sp>
    <xdr:clientData/>
  </xdr:twoCellAnchor>
  <xdr:twoCellAnchor>
    <xdr:from>
      <xdr:col>14</xdr:col>
      <xdr:colOff>454022</xdr:colOff>
      <xdr:row>17</xdr:row>
      <xdr:rowOff>90938</xdr:rowOff>
    </xdr:from>
    <xdr:to>
      <xdr:col>18</xdr:col>
      <xdr:colOff>358588</xdr:colOff>
      <xdr:row>18</xdr:row>
      <xdr:rowOff>153243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FF12B89A-D96A-4231-9483-28D64FA86020}"/>
            </a:ext>
          </a:extLst>
        </xdr:cNvPr>
        <xdr:cNvSpPr txBox="1"/>
      </xdr:nvSpPr>
      <xdr:spPr>
        <a:xfrm>
          <a:off x="10607509" y="3191041"/>
          <a:ext cx="2542258" cy="2446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Acumulado de ausencia Real</a:t>
          </a:r>
        </a:p>
      </xdr:txBody>
    </xdr:sp>
    <xdr:clientData/>
  </xdr:twoCellAnchor>
  <xdr:twoCellAnchor>
    <xdr:from>
      <xdr:col>5</xdr:col>
      <xdr:colOff>256827</xdr:colOff>
      <xdr:row>6</xdr:row>
      <xdr:rowOff>0</xdr:rowOff>
    </xdr:from>
    <xdr:to>
      <xdr:col>7</xdr:col>
      <xdr:colOff>250866</xdr:colOff>
      <xdr:row>7</xdr:row>
      <xdr:rowOff>52294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70A2D534-D6EA-4D01-848C-803560E97EC1}"/>
            </a:ext>
          </a:extLst>
        </xdr:cNvPr>
        <xdr:cNvSpPr txBox="1"/>
      </xdr:nvSpPr>
      <xdr:spPr>
        <a:xfrm>
          <a:off x="3827768" y="1075765"/>
          <a:ext cx="1592745" cy="231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Ausencia Real</a:t>
          </a:r>
        </a:p>
      </xdr:txBody>
    </xdr:sp>
    <xdr:clientData/>
  </xdr:twoCellAnchor>
  <xdr:twoCellAnchor>
    <xdr:from>
      <xdr:col>1</xdr:col>
      <xdr:colOff>94986</xdr:colOff>
      <xdr:row>17</xdr:row>
      <xdr:rowOff>172215</xdr:rowOff>
    </xdr:from>
    <xdr:to>
      <xdr:col>5</xdr:col>
      <xdr:colOff>99060</xdr:colOff>
      <xdr:row>28</xdr:row>
      <xdr:rowOff>71966</xdr:rowOff>
    </xdr:to>
    <xdr:graphicFrame macro="">
      <xdr:nvGraphicFramePr>
        <xdr:cNvPr id="87" name="Gráfico 86">
          <a:extLst>
            <a:ext uri="{FF2B5EF4-FFF2-40B4-BE49-F238E27FC236}">
              <a16:creationId xmlns:a16="http://schemas.microsoft.com/office/drawing/2014/main" id="{BB715F78-2BF1-4922-A85C-FB0196C82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297873</xdr:colOff>
      <xdr:row>6</xdr:row>
      <xdr:rowOff>163795</xdr:rowOff>
    </xdr:from>
    <xdr:to>
      <xdr:col>14</xdr:col>
      <xdr:colOff>231588</xdr:colOff>
      <xdr:row>21</xdr:row>
      <xdr:rowOff>93132</xdr:rowOff>
    </xdr:to>
    <xdr:graphicFrame macro="">
      <xdr:nvGraphicFramePr>
        <xdr:cNvPr id="88" name="Gráfico 87">
          <a:extLst>
            <a:ext uri="{FF2B5EF4-FFF2-40B4-BE49-F238E27FC236}">
              <a16:creationId xmlns:a16="http://schemas.microsoft.com/office/drawing/2014/main" id="{69A0F5C2-38B7-488A-ACE1-9E1DD17329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465220</xdr:colOff>
      <xdr:row>7</xdr:row>
      <xdr:rowOff>75155</xdr:rowOff>
    </xdr:from>
    <xdr:to>
      <xdr:col>20</xdr:col>
      <xdr:colOff>167640</xdr:colOff>
      <xdr:row>16</xdr:row>
      <xdr:rowOff>65128</xdr:rowOff>
    </xdr:to>
    <xdr:graphicFrame macro="">
      <xdr:nvGraphicFramePr>
        <xdr:cNvPr id="89" name="Gráfico 88">
          <a:extLst>
            <a:ext uri="{FF2B5EF4-FFF2-40B4-BE49-F238E27FC236}">
              <a16:creationId xmlns:a16="http://schemas.microsoft.com/office/drawing/2014/main" id="{BE862E3C-F229-44D8-BA13-E094D01CA8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304800</xdr:colOff>
      <xdr:row>24</xdr:row>
      <xdr:rowOff>71215</xdr:rowOff>
    </xdr:from>
    <xdr:to>
      <xdr:col>14</xdr:col>
      <xdr:colOff>226978</xdr:colOff>
      <xdr:row>37</xdr:row>
      <xdr:rowOff>178037</xdr:rowOff>
    </xdr:to>
    <xdr:graphicFrame macro="">
      <xdr:nvGraphicFramePr>
        <xdr:cNvPr id="90" name="Gráfico 89">
          <a:extLst>
            <a:ext uri="{FF2B5EF4-FFF2-40B4-BE49-F238E27FC236}">
              <a16:creationId xmlns:a16="http://schemas.microsoft.com/office/drawing/2014/main" id="{6F1AC91D-8FCD-43E8-8BC7-AD2103021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444485</xdr:colOff>
      <xdr:row>19</xdr:row>
      <xdr:rowOff>65128</xdr:rowOff>
    </xdr:from>
    <xdr:to>
      <xdr:col>20</xdr:col>
      <xdr:colOff>350520</xdr:colOff>
      <xdr:row>37</xdr:row>
      <xdr:rowOff>178037</xdr:rowOff>
    </xdr:to>
    <xdr:graphicFrame macro="">
      <xdr:nvGraphicFramePr>
        <xdr:cNvPr id="91" name="Gráfico 90">
          <a:extLst>
            <a:ext uri="{FF2B5EF4-FFF2-40B4-BE49-F238E27FC236}">
              <a16:creationId xmlns:a16="http://schemas.microsoft.com/office/drawing/2014/main" id="{1C80B40B-4398-4AC5-BA48-FCBF78A15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426721</xdr:colOff>
      <xdr:row>0</xdr:row>
      <xdr:rowOff>45720</xdr:rowOff>
    </xdr:from>
    <xdr:to>
      <xdr:col>21</xdr:col>
      <xdr:colOff>144781</xdr:colOff>
      <xdr:row>4</xdr:row>
      <xdr:rowOff>175260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2" name="Ingenio">
              <a:extLst>
                <a:ext uri="{FF2B5EF4-FFF2-40B4-BE49-F238E27FC236}">
                  <a16:creationId xmlns:a16="http://schemas.microsoft.com/office/drawing/2014/main" id="{2705D9D5-6047-4157-80BC-2FA0B69D0F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geni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230101" y="45720"/>
              <a:ext cx="2080260" cy="861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83864</xdr:colOff>
      <xdr:row>0</xdr:row>
      <xdr:rowOff>124862</xdr:rowOff>
    </xdr:from>
    <xdr:to>
      <xdr:col>14</xdr:col>
      <xdr:colOff>136358</xdr:colOff>
      <xdr:row>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3" name="Sind/No sind">
              <a:extLst>
                <a:ext uri="{FF2B5EF4-FFF2-40B4-BE49-F238E27FC236}">
                  <a16:creationId xmlns:a16="http://schemas.microsoft.com/office/drawing/2014/main" id="{70477F47-2873-4709-BD8F-CA173DAE48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nd/No sin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75364" y="124862"/>
              <a:ext cx="1820334" cy="903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8151</xdr:colOff>
      <xdr:row>0</xdr:row>
      <xdr:rowOff>26246</xdr:rowOff>
    </xdr:from>
    <xdr:to>
      <xdr:col>4</xdr:col>
      <xdr:colOff>381000</xdr:colOff>
      <xdr:row>5</xdr:row>
      <xdr:rowOff>182879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4" name="Mes">
              <a:extLst>
                <a:ext uri="{FF2B5EF4-FFF2-40B4-BE49-F238E27FC236}">
                  <a16:creationId xmlns:a16="http://schemas.microsoft.com/office/drawing/2014/main" id="{6FFD8699-15EB-4A83-A2C6-C8784CFD94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8851" y="26246"/>
              <a:ext cx="1172949" cy="107103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88053</xdr:colOff>
      <xdr:row>0</xdr:row>
      <xdr:rowOff>88053</xdr:rowOff>
    </xdr:from>
    <xdr:to>
      <xdr:col>2</xdr:col>
      <xdr:colOff>228600</xdr:colOff>
      <xdr:row>5</xdr:row>
      <xdr:rowOff>137160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5" name="Año">
              <a:extLst>
                <a:ext uri="{FF2B5EF4-FFF2-40B4-BE49-F238E27FC236}">
                  <a16:creationId xmlns:a16="http://schemas.microsoft.com/office/drawing/2014/main" id="{AAE26445-9A88-409C-8299-D86F600E09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053" y="88053"/>
              <a:ext cx="1131147" cy="9635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17</xdr:col>
      <xdr:colOff>350068</xdr:colOff>
      <xdr:row>0</xdr:row>
      <xdr:rowOff>33425</xdr:rowOff>
    </xdr:from>
    <xdr:to>
      <xdr:col>19</xdr:col>
      <xdr:colOff>365760</xdr:colOff>
      <xdr:row>1</xdr:row>
      <xdr:rowOff>76200</xdr:rowOff>
    </xdr:to>
    <xdr:sp macro="" textlink="">
      <xdr:nvSpPr>
        <xdr:cNvPr id="84" name="CuadroTexto 83">
          <a:extLst>
            <a:ext uri="{FF2B5EF4-FFF2-40B4-BE49-F238E27FC236}">
              <a16:creationId xmlns:a16="http://schemas.microsoft.com/office/drawing/2014/main" id="{CD72587C-3102-40A9-BA1B-BCDBA8FE9DF0}"/>
            </a:ext>
          </a:extLst>
        </xdr:cNvPr>
        <xdr:cNvSpPr txBox="1"/>
      </xdr:nvSpPr>
      <xdr:spPr>
        <a:xfrm>
          <a:off x="12153448" y="33425"/>
          <a:ext cx="1585412" cy="225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2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12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Unidad Organizativa</a:t>
          </a:r>
        </a:p>
      </xdr:txBody>
    </xdr:sp>
    <xdr:clientData/>
  </xdr:twoCellAnchor>
  <xdr:twoCellAnchor>
    <xdr:from>
      <xdr:col>11</xdr:col>
      <xdr:colOff>53539</xdr:colOff>
      <xdr:row>0</xdr:row>
      <xdr:rowOff>143796</xdr:rowOff>
    </xdr:from>
    <xdr:to>
      <xdr:col>13</xdr:col>
      <xdr:colOff>558078</xdr:colOff>
      <xdr:row>1</xdr:row>
      <xdr:rowOff>167685</xdr:rowOff>
    </xdr:to>
    <xdr:sp macro="" textlink="">
      <xdr:nvSpPr>
        <xdr:cNvPr id="85" name="CuadroTexto 84">
          <a:extLst>
            <a:ext uri="{FF2B5EF4-FFF2-40B4-BE49-F238E27FC236}">
              <a16:creationId xmlns:a16="http://schemas.microsoft.com/office/drawing/2014/main" id="{0AD3AC65-575E-4022-A526-06D5BC9593CD}"/>
            </a:ext>
          </a:extLst>
        </xdr:cNvPr>
        <xdr:cNvSpPr txBox="1"/>
      </xdr:nvSpPr>
      <xdr:spPr>
        <a:xfrm>
          <a:off x="8245039" y="143796"/>
          <a:ext cx="1487519" cy="2067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2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1200" b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Sind/No sind</a:t>
          </a:r>
        </a:p>
      </xdr:txBody>
    </xdr:sp>
    <xdr:clientData/>
  </xdr:twoCellAnchor>
  <xdr:twoCellAnchor>
    <xdr:from>
      <xdr:col>3</xdr:col>
      <xdr:colOff>31806</xdr:colOff>
      <xdr:row>0</xdr:row>
      <xdr:rowOff>22860</xdr:rowOff>
    </xdr:from>
    <xdr:to>
      <xdr:col>3</xdr:col>
      <xdr:colOff>616837</xdr:colOff>
      <xdr:row>1</xdr:row>
      <xdr:rowOff>69489</xdr:rowOff>
    </xdr:to>
    <xdr:sp macro="" textlink="">
      <xdr:nvSpPr>
        <xdr:cNvPr id="83" name="CuadroTexto 82">
          <a:extLst>
            <a:ext uri="{FF2B5EF4-FFF2-40B4-BE49-F238E27FC236}">
              <a16:creationId xmlns:a16="http://schemas.microsoft.com/office/drawing/2014/main" id="{4989BD24-1434-4359-8D42-E0F4C7743495}"/>
            </a:ext>
          </a:extLst>
        </xdr:cNvPr>
        <xdr:cNvSpPr txBox="1"/>
      </xdr:nvSpPr>
      <xdr:spPr>
        <a:xfrm>
          <a:off x="1822506" y="22860"/>
          <a:ext cx="585031" cy="2295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2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12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Mes</a:t>
          </a:r>
        </a:p>
      </xdr:txBody>
    </xdr:sp>
    <xdr:clientData/>
  </xdr:twoCellAnchor>
  <xdr:twoCellAnchor>
    <xdr:from>
      <xdr:col>0</xdr:col>
      <xdr:colOff>83820</xdr:colOff>
      <xdr:row>0</xdr:row>
      <xdr:rowOff>76377</xdr:rowOff>
    </xdr:from>
    <xdr:to>
      <xdr:col>1</xdr:col>
      <xdr:colOff>507344</xdr:colOff>
      <xdr:row>1</xdr:row>
      <xdr:rowOff>169636</xdr:rowOff>
    </xdr:to>
    <xdr:sp macro="" textlink="">
      <xdr:nvSpPr>
        <xdr:cNvPr id="82" name="CuadroTexto 81">
          <a:extLst>
            <a:ext uri="{FF2B5EF4-FFF2-40B4-BE49-F238E27FC236}">
              <a16:creationId xmlns:a16="http://schemas.microsoft.com/office/drawing/2014/main" id="{715E0F8E-A822-464E-BEFA-FDE3970E8D9B}"/>
            </a:ext>
          </a:extLst>
        </xdr:cNvPr>
        <xdr:cNvSpPr txBox="1"/>
      </xdr:nvSpPr>
      <xdr:spPr>
        <a:xfrm>
          <a:off x="83820" y="76377"/>
          <a:ext cx="614024" cy="2761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200" b="0">
              <a:solidFill>
                <a:srgbClr val="FF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●</a:t>
          </a:r>
          <a:r>
            <a:rPr lang="es-MX" sz="1200" b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Año</a:t>
          </a:r>
        </a:p>
        <a:p>
          <a:pPr algn="l"/>
          <a:endParaRPr lang="es-MX" sz="1200" b="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1</xdr:col>
      <xdr:colOff>90246</xdr:colOff>
      <xdr:row>6</xdr:row>
      <xdr:rowOff>3731</xdr:rowOff>
    </xdr:from>
    <xdr:to>
      <xdr:col>5</xdr:col>
      <xdr:colOff>115992</xdr:colOff>
      <xdr:row>11</xdr:row>
      <xdr:rowOff>146937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3A0F551F-5D48-49B0-B857-42DEAC505D45}"/>
            </a:ext>
          </a:extLst>
        </xdr:cNvPr>
        <xdr:cNvSpPr/>
      </xdr:nvSpPr>
      <xdr:spPr>
        <a:xfrm>
          <a:off x="463626" y="1101011"/>
          <a:ext cx="3226146" cy="1057606"/>
        </a:xfrm>
        <a:prstGeom prst="roundRect">
          <a:avLst>
            <a:gd name="adj" fmla="val 5163"/>
          </a:avLst>
        </a:prstGeom>
        <a:solidFill>
          <a:sysClr val="window" lastClr="FFFFFF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409810</xdr:colOff>
      <xdr:row>7</xdr:row>
      <xdr:rowOff>127879</xdr:rowOff>
    </xdr:from>
    <xdr:to>
      <xdr:col>3</xdr:col>
      <xdr:colOff>106679</xdr:colOff>
      <xdr:row>10</xdr:row>
      <xdr:rowOff>111826</xdr:rowOff>
    </xdr:to>
    <xdr:sp macro="" textlink="Info!C3">
      <xdr:nvSpPr>
        <xdr:cNvPr id="18" name="CuadroTexto 17">
          <a:extLst>
            <a:ext uri="{FF2B5EF4-FFF2-40B4-BE49-F238E27FC236}">
              <a16:creationId xmlns:a16="http://schemas.microsoft.com/office/drawing/2014/main" id="{D574AFAB-D96E-42D9-8468-A174E4B60056}"/>
            </a:ext>
          </a:extLst>
        </xdr:cNvPr>
        <xdr:cNvSpPr txBox="1"/>
      </xdr:nvSpPr>
      <xdr:spPr>
        <a:xfrm>
          <a:off x="783190" y="1408039"/>
          <a:ext cx="1297069" cy="5325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49D4F0-B986-4847-AE72-B1BA04624EC8}" type="TxLink">
            <a:rPr lang="en-US" sz="3200" b="0" i="0" u="none" strike="noStrike">
              <a:solidFill>
                <a:srgbClr val="000000"/>
              </a:solidFill>
              <a:latin typeface="Franklin Gothic Medium" panose="020B0603020102020204" pitchFamily="34" charset="0"/>
              <a:ea typeface="Calibri"/>
              <a:cs typeface="Calibri"/>
            </a:rPr>
            <a:pPr marL="0" indent="0" algn="ctr"/>
            <a:t>8644</a:t>
          </a:fld>
          <a:endParaRPr lang="es-MX" sz="3200" b="0" i="0" u="none" strike="noStrike">
            <a:solidFill>
              <a:srgbClr val="000000"/>
            </a:solidFill>
            <a:latin typeface="Franklin Gothic Medium" panose="020B06030201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92916</xdr:colOff>
      <xdr:row>6</xdr:row>
      <xdr:rowOff>78152</xdr:rowOff>
    </xdr:from>
    <xdr:to>
      <xdr:col>3</xdr:col>
      <xdr:colOff>445770</xdr:colOff>
      <xdr:row>7</xdr:row>
      <xdr:rowOff>149412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F8AB7EF-C9D7-4184-A509-B451AE954DEC}"/>
            </a:ext>
          </a:extLst>
        </xdr:cNvPr>
        <xdr:cNvSpPr txBox="1"/>
      </xdr:nvSpPr>
      <xdr:spPr>
        <a:xfrm>
          <a:off x="466445" y="1153917"/>
          <a:ext cx="1951560" cy="250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Plantilla laboral </a:t>
          </a:r>
          <a:r>
            <a:rPr lang="es-MX" sz="1400" b="0" baseline="0">
              <a:solidFill>
                <a:srgbClr val="1391A6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activa</a:t>
          </a:r>
          <a:endParaRPr lang="es-MX" sz="1400" b="0">
            <a:solidFill>
              <a:srgbClr val="1391A6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3</xdr:col>
      <xdr:colOff>356099</xdr:colOff>
      <xdr:row>6</xdr:row>
      <xdr:rowOff>19539</xdr:rowOff>
    </xdr:from>
    <xdr:to>
      <xdr:col>5</xdr:col>
      <xdr:colOff>163830</xdr:colOff>
      <xdr:row>7</xdr:row>
      <xdr:rowOff>51289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82C1D17-E74A-4B5E-BF73-EA79D3E9A5E1}"/>
            </a:ext>
          </a:extLst>
        </xdr:cNvPr>
        <xdr:cNvSpPr txBox="1"/>
      </xdr:nvSpPr>
      <xdr:spPr>
        <a:xfrm>
          <a:off x="2329679" y="1116819"/>
          <a:ext cx="1407931" cy="2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</a:rPr>
            <a:t>Dias laborables</a:t>
          </a:r>
          <a:endParaRPr lang="es-MX" sz="1400" b="0">
            <a:solidFill>
              <a:srgbClr val="1391A6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</a:endParaRPr>
        </a:p>
      </xdr:txBody>
    </xdr:sp>
    <xdr:clientData/>
  </xdr:twoCellAnchor>
  <xdr:twoCellAnchor>
    <xdr:from>
      <xdr:col>3</xdr:col>
      <xdr:colOff>578056</xdr:colOff>
      <xdr:row>8</xdr:row>
      <xdr:rowOff>168409</xdr:rowOff>
    </xdr:from>
    <xdr:to>
      <xdr:col>4</xdr:col>
      <xdr:colOff>632460</xdr:colOff>
      <xdr:row>10</xdr:row>
      <xdr:rowOff>34779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56A7096E-18FD-4B83-92EF-9F780A18BFB0}"/>
            </a:ext>
          </a:extLst>
        </xdr:cNvPr>
        <xdr:cNvSpPr txBox="1"/>
      </xdr:nvSpPr>
      <xdr:spPr>
        <a:xfrm>
          <a:off x="2551636" y="1631449"/>
          <a:ext cx="854504" cy="232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4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t>Jornales</a:t>
          </a:r>
        </a:p>
      </xdr:txBody>
    </xdr:sp>
    <xdr:clientData/>
  </xdr:twoCellAnchor>
  <xdr:twoCellAnchor>
    <xdr:from>
      <xdr:col>3</xdr:col>
      <xdr:colOff>679656</xdr:colOff>
      <xdr:row>7</xdr:row>
      <xdr:rowOff>71140</xdr:rowOff>
    </xdr:from>
    <xdr:to>
      <xdr:col>4</xdr:col>
      <xdr:colOff>570230</xdr:colOff>
      <xdr:row>8</xdr:row>
      <xdr:rowOff>157480</xdr:rowOff>
    </xdr:to>
    <xdr:sp macro="" textlink="Info!D3">
      <xdr:nvSpPr>
        <xdr:cNvPr id="43" name="CuadroTexto 42">
          <a:extLst>
            <a:ext uri="{FF2B5EF4-FFF2-40B4-BE49-F238E27FC236}">
              <a16:creationId xmlns:a16="http://schemas.microsoft.com/office/drawing/2014/main" id="{2DC0E1BA-C4B8-4877-B497-FB7DACF0B872}"/>
            </a:ext>
          </a:extLst>
        </xdr:cNvPr>
        <xdr:cNvSpPr txBox="1"/>
      </xdr:nvSpPr>
      <xdr:spPr>
        <a:xfrm>
          <a:off x="2653236" y="1351300"/>
          <a:ext cx="690674" cy="269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0E2427B-A2F6-4135-A2EF-00D03CE50737}" type="TxLink">
            <a:rPr lang="en-US" sz="16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ctr"/>
            <a:t>794</a:t>
          </a:fld>
          <a:endParaRPr lang="es-MX" sz="1600" b="0" baseline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498046</xdr:colOff>
      <xdr:row>10</xdr:row>
      <xdr:rowOff>12720</xdr:rowOff>
    </xdr:from>
    <xdr:to>
      <xdr:col>4</xdr:col>
      <xdr:colOff>697230</xdr:colOff>
      <xdr:row>11</xdr:row>
      <xdr:rowOff>99060</xdr:rowOff>
    </xdr:to>
    <xdr:sp macro="" textlink="Info!E3">
      <xdr:nvSpPr>
        <xdr:cNvPr id="44" name="CuadroTexto 43">
          <a:extLst>
            <a:ext uri="{FF2B5EF4-FFF2-40B4-BE49-F238E27FC236}">
              <a16:creationId xmlns:a16="http://schemas.microsoft.com/office/drawing/2014/main" id="{4DE39F6E-EDA5-401C-8C26-F1ACC69A607D}"/>
            </a:ext>
          </a:extLst>
        </xdr:cNvPr>
        <xdr:cNvSpPr txBox="1"/>
      </xdr:nvSpPr>
      <xdr:spPr>
        <a:xfrm>
          <a:off x="2471626" y="1841520"/>
          <a:ext cx="999284" cy="269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E4F65727-F177-49A8-8BC0-4A4637B9E5F6}" type="TxLink">
            <a:rPr lang="en-US" sz="1600" b="0" baseline="0">
              <a:solidFill>
                <a:sysClr val="windowText" lastClr="000000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ranklin Gothic Medium" panose="020B0603020102020204" pitchFamily="34" charset="0"/>
              <a:ea typeface="+mn-ea"/>
              <a:cs typeface="+mn-cs"/>
            </a:rPr>
            <a:pPr marL="0" indent="0" algn="ctr"/>
            <a:t>214185</a:t>
          </a:fld>
          <a:endParaRPr lang="es-MX" sz="1600" b="0" baseline="0">
            <a:solidFill>
              <a:sysClr val="windowText" lastClr="000000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ranklin Gothic Medium" panose="020B0603020102020204" pitchFamily="34" charset="0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porres-my.sharepoint.com/personal/jmunoz_gporres_com_mx/Documents/Agricolas/DashBoards/Concentrado/Concentrado%20Ausentismos%20Agricolas.xlsx" TargetMode="External"/><Relationship Id="rId1" Type="http://schemas.openxmlformats.org/officeDocument/2006/relationships/externalLinkPath" Target="https://grupoporres-my.sharepoint.com/personal/jmunoz_gporres_com_mx/Documents/Agricolas/DashBoards/Concentrado/Concentrado%20Ausentismos%20Agricola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sktop\Concentrado%20Semanal%20Agricolas.xlsx" TargetMode="External"/><Relationship Id="rId1" Type="http://schemas.openxmlformats.org/officeDocument/2006/relationships/externalLinkPath" Target="Concentrado%20Semanal%20Agricol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sentismos"/>
      <sheetName val="Analisis"/>
      <sheetName val="Info"/>
      <sheetName val="DashBoard"/>
    </sheetNames>
    <sheetDataSet>
      <sheetData sheetId="0" refreshError="1"/>
      <sheetData sheetId="1" refreshError="1"/>
      <sheetData sheetId="2" refreshError="1">
        <row r="2">
          <cell r="F2" t="str">
            <v>FI</v>
          </cell>
          <cell r="G2" t="str">
            <v>PSG</v>
          </cell>
          <cell r="H2" t="str">
            <v>EG</v>
          </cell>
          <cell r="I2" t="str">
            <v>RT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11">
          <cell r="C11" t="str">
            <v>PLAN COMPR.</v>
          </cell>
          <cell r="D11" t="str">
            <v>REAL COMPR.</v>
          </cell>
        </row>
        <row r="12">
          <cell r="B12" t="str">
            <v>Enero</v>
          </cell>
          <cell r="C12">
            <v>1</v>
          </cell>
          <cell r="D12">
            <v>0</v>
          </cell>
        </row>
        <row r="13">
          <cell r="B13" t="str">
            <v>Febrero</v>
          </cell>
          <cell r="C13">
            <v>0</v>
          </cell>
          <cell r="D13">
            <v>0</v>
          </cell>
        </row>
        <row r="14">
          <cell r="B14" t="str">
            <v>Marzo</v>
          </cell>
          <cell r="C14">
            <v>0</v>
          </cell>
          <cell r="D14">
            <v>0</v>
          </cell>
        </row>
        <row r="15">
          <cell r="B15" t="str">
            <v>Abril</v>
          </cell>
          <cell r="C15">
            <v>0</v>
          </cell>
          <cell r="D15">
            <v>0</v>
          </cell>
        </row>
        <row r="16">
          <cell r="B16" t="str">
            <v>Mayo</v>
          </cell>
          <cell r="C16">
            <v>0</v>
          </cell>
          <cell r="D16">
            <v>0</v>
          </cell>
        </row>
        <row r="17">
          <cell r="B17" t="str">
            <v>Junio</v>
          </cell>
          <cell r="C17">
            <v>0</v>
          </cell>
          <cell r="D17">
            <v>0</v>
          </cell>
        </row>
        <row r="18">
          <cell r="B18" t="str">
            <v>Julio</v>
          </cell>
          <cell r="C18">
            <v>0</v>
          </cell>
          <cell r="D18">
            <v>0</v>
          </cell>
        </row>
        <row r="19">
          <cell r="B19" t="str">
            <v>Agosto</v>
          </cell>
          <cell r="C19">
            <v>0</v>
          </cell>
          <cell r="D19">
            <v>0</v>
          </cell>
        </row>
        <row r="20">
          <cell r="B20" t="str">
            <v>Septiembre</v>
          </cell>
          <cell r="C20">
            <v>0</v>
          </cell>
          <cell r="D20">
            <v>0</v>
          </cell>
        </row>
        <row r="21">
          <cell r="B21" t="str">
            <v>Octubre</v>
          </cell>
          <cell r="C21">
            <v>0</v>
          </cell>
          <cell r="D21">
            <v>0</v>
          </cell>
        </row>
        <row r="22">
          <cell r="B22" t="str">
            <v>Noviembre</v>
          </cell>
          <cell r="C22">
            <v>0</v>
          </cell>
          <cell r="D22">
            <v>0</v>
          </cell>
        </row>
        <row r="23">
          <cell r="B23" t="str">
            <v>Diciembre</v>
          </cell>
          <cell r="C23">
            <v>0</v>
          </cell>
          <cell r="D23">
            <v>0</v>
          </cell>
        </row>
        <row r="25">
          <cell r="C25" t="str">
            <v>FI</v>
          </cell>
          <cell r="D25" t="str">
            <v>PSG</v>
          </cell>
          <cell r="E25" t="str">
            <v>EG</v>
          </cell>
          <cell r="F25" t="str">
            <v>RT</v>
          </cell>
        </row>
        <row r="26">
          <cell r="B26">
            <v>2023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>
            <v>2024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>
            <v>2025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>
            <v>2026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1">
          <cell r="C31" t="str">
            <v>REAL AUSENT</v>
          </cell>
        </row>
        <row r="32">
          <cell r="B32">
            <v>2023</v>
          </cell>
          <cell r="C32">
            <v>0</v>
          </cell>
        </row>
        <row r="33">
          <cell r="B33">
            <v>2024</v>
          </cell>
          <cell r="C33">
            <v>0</v>
          </cell>
        </row>
        <row r="34">
          <cell r="B34">
            <v>2025</v>
          </cell>
          <cell r="C34">
            <v>0</v>
          </cell>
        </row>
        <row r="35">
          <cell r="B35">
            <v>2026</v>
          </cell>
          <cell r="C35">
            <v>0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IFF0jwOKhE-zYHIIBrnEFIh1N7WInYNEq_v4Rygw70IPz6Sz0fDRTqWxd8Dsv_KY" itemId="01NHNWZ635GANOF3JMGNCLKBMFEYNSML62">
      <xxl21:absoluteUrl r:id="rId2"/>
    </xxl21:alternateUrls>
    <sheetNames>
      <sheetName val="MCIS C Y T"/>
      <sheetName val="MCIS C Y T (2)"/>
      <sheetName val="Analisis"/>
      <sheetName val="Info2"/>
      <sheetName val="DashBoard"/>
      <sheetName val="Analisis_C"/>
      <sheetName val="Info_C"/>
      <sheetName val="Comparativo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sús Ángel Muñoz Cuahua" refreshedDate="46188.387669560187" createdVersion="8" refreshedVersion="8" minRefreshableVersion="3" recordCount="384" xr:uid="{41763FD1-5884-4EBF-BCAA-564576E8A168}">
  <cacheSource type="worksheet">
    <worksheetSource name="Ausentismos"/>
  </cacheSource>
  <cacheFields count="19">
    <cacheField name="Ingenio" numFmtId="0">
      <sharedItems count="4">
        <s v="Huixtla"/>
        <s v="Modelo"/>
        <s v="San Pedro"/>
        <s v="Santa Clara"/>
      </sharedItems>
    </cacheField>
    <cacheField name="Plantilla" numFmtId="0">
      <sharedItems containsString="0" containsBlank="1" containsNumber="1" containsInteger="1" minValue="83" maxValue="484"/>
    </cacheField>
    <cacheField name="Sind/No sind" numFmtId="0">
      <sharedItems count="2">
        <s v="No Sindicalizados"/>
        <s v="Sindicalizados (Perm. Y Temp)"/>
      </sharedItems>
    </cacheField>
    <cacheField name="Días laborables_x000a_ del mes" numFmtId="0">
      <sharedItems containsString="0" containsBlank="1" containsNumber="1" containsInteger="1" minValue="4" maxValue="31" count="26">
        <n v="26"/>
        <n v="24"/>
        <n v="25"/>
        <n v="21"/>
        <n v="22"/>
        <n v="23"/>
        <n v="14"/>
        <n v="5"/>
        <n v="17"/>
        <n v="27"/>
        <n v="15"/>
        <n v="19"/>
        <n v="11"/>
        <m/>
        <n v="20"/>
        <n v="6"/>
        <n v="10"/>
        <n v="4"/>
        <n v="16"/>
        <n v="12"/>
        <n v="8"/>
        <n v="29"/>
        <n v="31"/>
        <n v="30"/>
        <n v="28"/>
        <n v="9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Jornales" numFmtId="0">
      <sharedItems containsString="0" containsBlank="1" containsNumber="1" containsInteger="1" minValue="550" maxValue="12584"/>
    </cacheField>
    <cacheField name="FI" numFmtId="0">
      <sharedItems containsString="0" containsBlank="1" containsNumber="1" containsInteger="1" minValue="0" maxValue="2574"/>
    </cacheField>
    <cacheField name="PSG" numFmtId="0">
      <sharedItems containsString="0" containsBlank="1" containsNumber="1" containsInteger="1" minValue="0" maxValue="391"/>
    </cacheField>
    <cacheField name="EG" numFmtId="0">
      <sharedItems containsString="0" containsBlank="1" containsNumber="1" containsInteger="1" minValue="0" maxValue="292"/>
    </cacheField>
    <cacheField name="RT" numFmtId="0">
      <sharedItems containsString="0" containsBlank="1" containsNumber="1" containsInteger="1" minValue="0" maxValue="192"/>
    </cacheField>
    <cacheField name="Ausencias" numFmtId="0">
      <sharedItems containsString="0" containsBlank="1" containsNumber="1" containsInteger="1" minValue="0" maxValue="2898"/>
    </cacheField>
    <cacheField name="REAL AUSENT." numFmtId="0">
      <sharedItems containsString="0" containsBlank="1" containsNumber="1" minValue="0" maxValue="0.30996784565916397"/>
    </cacheField>
    <cacheField name="REAL COMPR." numFmtId="0">
      <sharedItems containsString="0" containsBlank="1" containsNumber="1" minValue="0.69003215434083609" maxValue="1"/>
    </cacheField>
    <cacheField name="PLAN _x000a_AUSENT." numFmtId="0">
      <sharedItems containsSemiMixedTypes="0" containsString="0" containsNumber="1" minValue="0" maxValue="0.2303"/>
    </cacheField>
    <cacheField name="PLAN COMPR." numFmtId="0">
      <sharedItems containsSemiMixedTypes="0" containsString="0" containsNumber="1" minValue="0.76970000000000005" maxValue="1"/>
    </cacheField>
    <cacheField name="DIF +/-" numFmtId="0">
      <sharedItems containsString="0" containsBlank="1" containsNumber="1" minValue="-0.1570014492753623" maxValue="0.30996784565916397"/>
    </cacheField>
    <cacheField name="Orden" numFmtId="0">
      <sharedItems containsSemiMixedTypes="0" containsString="0" containsNumber="1" containsInteger="1" minValue="1" maxValue="12"/>
    </cacheField>
    <cacheField name="Año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ID" numFmtId="14">
      <sharedItems containsSemiMixedTypes="0" containsNonDate="0" containsDate="1" containsString="0" minDate="2023-01-01T00:00:00" maxDate="2026-12-02T00:00:00" count="48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  <d v="2026-08-01T00:00:00"/>
        <d v="2026-09-01T00:00:00"/>
        <d v="2026-10-01T00:00:00"/>
        <d v="2026-11-01T00:00:00"/>
        <d v="2026-12-01T00:00:00"/>
      </sharedItems>
    </cacheField>
  </cacheFields>
  <extLst>
    <ext xmlns:x14="http://schemas.microsoft.com/office/spreadsheetml/2009/9/main" uri="{725AE2AE-9491-48be-B2B4-4EB974FC3084}">
      <x14:pivotCacheDefinition pivotCacheId="10675540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">
  <r>
    <x v="0"/>
    <n v="175"/>
    <x v="0"/>
    <x v="0"/>
    <x v="0"/>
    <n v="4550"/>
    <n v="0"/>
    <n v="0"/>
    <n v="2"/>
    <n v="0"/>
    <n v="2"/>
    <n v="4.3956043956043956E-4"/>
    <n v="0.99956043956043961"/>
    <n v="0"/>
    <n v="1"/>
    <n v="4.3956043956043956E-4"/>
    <n v="1"/>
    <x v="0"/>
    <x v="0"/>
  </r>
  <r>
    <x v="0"/>
    <n v="195"/>
    <x v="0"/>
    <x v="1"/>
    <x v="1"/>
    <n v="4680"/>
    <n v="0"/>
    <n v="0"/>
    <n v="23"/>
    <n v="0"/>
    <n v="23"/>
    <n v="4.9145299145299144E-3"/>
    <n v="0.9950854700854701"/>
    <n v="0"/>
    <n v="1"/>
    <n v="4.9145299145299144E-3"/>
    <n v="2"/>
    <x v="0"/>
    <x v="1"/>
  </r>
  <r>
    <x v="0"/>
    <n v="195"/>
    <x v="0"/>
    <x v="0"/>
    <x v="2"/>
    <n v="5070"/>
    <n v="0"/>
    <n v="0"/>
    <n v="0"/>
    <n v="5"/>
    <n v="5"/>
    <n v="9.8619329388560163E-4"/>
    <n v="0.99901380670611439"/>
    <n v="0"/>
    <n v="1"/>
    <n v="9.8619329388560163E-4"/>
    <n v="3"/>
    <x v="0"/>
    <x v="2"/>
  </r>
  <r>
    <x v="0"/>
    <n v="195"/>
    <x v="0"/>
    <x v="2"/>
    <x v="3"/>
    <n v="4875"/>
    <n v="0"/>
    <n v="6"/>
    <n v="0"/>
    <n v="19"/>
    <n v="25"/>
    <n v="5.1282051282051282E-3"/>
    <n v="0.99487179487179489"/>
    <n v="0"/>
    <n v="1"/>
    <n v="5.1282051282051282E-3"/>
    <n v="4"/>
    <x v="0"/>
    <x v="3"/>
  </r>
  <r>
    <x v="0"/>
    <n v="195"/>
    <x v="0"/>
    <x v="3"/>
    <x v="4"/>
    <n v="4095"/>
    <n v="0"/>
    <n v="0"/>
    <n v="0"/>
    <n v="36"/>
    <n v="36"/>
    <n v="8.7912087912087912E-3"/>
    <n v="0.99120879120879124"/>
    <n v="0"/>
    <n v="1"/>
    <n v="8.7912087912087912E-3"/>
    <n v="5"/>
    <x v="0"/>
    <x v="4"/>
  </r>
  <r>
    <x v="0"/>
    <n v="137"/>
    <x v="0"/>
    <x v="4"/>
    <x v="5"/>
    <n v="3014"/>
    <n v="0"/>
    <n v="0"/>
    <n v="10"/>
    <n v="0"/>
    <n v="10"/>
    <n v="3.3178500331785005E-3"/>
    <n v="0.99668214996682147"/>
    <n v="0"/>
    <n v="1"/>
    <n v="3.3178500331785005E-3"/>
    <n v="6"/>
    <x v="0"/>
    <x v="5"/>
  </r>
  <r>
    <x v="0"/>
    <n v="137"/>
    <x v="0"/>
    <x v="3"/>
    <x v="6"/>
    <n v="2877"/>
    <n v="0"/>
    <n v="3"/>
    <n v="0"/>
    <n v="0"/>
    <n v="3"/>
    <n v="1.0427528675703858E-3"/>
    <n v="0.99895724713242962"/>
    <n v="0"/>
    <n v="1"/>
    <n v="1.0427528675703858E-3"/>
    <n v="7"/>
    <x v="0"/>
    <x v="6"/>
  </r>
  <r>
    <x v="0"/>
    <n v="135"/>
    <x v="0"/>
    <x v="5"/>
    <x v="7"/>
    <n v="3105"/>
    <n v="0"/>
    <n v="0"/>
    <n v="22"/>
    <n v="0"/>
    <n v="22"/>
    <n v="7.0853462157809983E-3"/>
    <n v="0.99291465378421895"/>
    <n v="0"/>
    <n v="1"/>
    <n v="7.0853462157809983E-3"/>
    <n v="8"/>
    <x v="0"/>
    <x v="7"/>
  </r>
  <r>
    <x v="0"/>
    <n v="137"/>
    <x v="0"/>
    <x v="3"/>
    <x v="8"/>
    <n v="2877"/>
    <n v="1"/>
    <n v="0"/>
    <n v="12"/>
    <n v="0"/>
    <n v="13"/>
    <n v="4.5185957594716716E-3"/>
    <n v="0.99548140424052833"/>
    <n v="0"/>
    <n v="1"/>
    <n v="4.5185957594716716E-3"/>
    <n v="9"/>
    <x v="0"/>
    <x v="8"/>
  </r>
  <r>
    <x v="0"/>
    <n v="143"/>
    <x v="0"/>
    <x v="4"/>
    <x v="9"/>
    <n v="3146"/>
    <n v="0"/>
    <n v="5"/>
    <n v="0"/>
    <n v="0"/>
    <n v="5"/>
    <n v="1.589319771137953E-3"/>
    <n v="0.99841068022886204"/>
    <n v="0"/>
    <n v="1"/>
    <n v="1.589319771137953E-3"/>
    <n v="10"/>
    <x v="0"/>
    <x v="9"/>
  </r>
  <r>
    <x v="0"/>
    <n v="192"/>
    <x v="0"/>
    <x v="6"/>
    <x v="10"/>
    <n v="2688"/>
    <n v="0"/>
    <n v="2"/>
    <n v="0"/>
    <n v="0"/>
    <n v="2"/>
    <n v="7.4404761904761901E-4"/>
    <n v="0.99925595238095233"/>
    <n v="0"/>
    <n v="1"/>
    <n v="7.4404761904761901E-4"/>
    <n v="11"/>
    <x v="0"/>
    <x v="10"/>
  </r>
  <r>
    <x v="0"/>
    <n v="194"/>
    <x v="0"/>
    <x v="2"/>
    <x v="11"/>
    <n v="4850"/>
    <n v="0"/>
    <n v="0"/>
    <n v="11"/>
    <n v="0"/>
    <n v="11"/>
    <n v="2.268041237113402E-3"/>
    <n v="0.99773195876288656"/>
    <n v="0"/>
    <n v="1"/>
    <n v="2.268041237113402E-3"/>
    <n v="12"/>
    <x v="0"/>
    <x v="11"/>
  </r>
  <r>
    <x v="0"/>
    <n v="194"/>
    <x v="0"/>
    <x v="0"/>
    <x v="0"/>
    <n v="5044"/>
    <n v="0"/>
    <n v="0"/>
    <n v="0"/>
    <n v="0"/>
    <n v="0"/>
    <n v="0"/>
    <n v="1"/>
    <n v="0"/>
    <n v="1"/>
    <n v="0"/>
    <n v="1"/>
    <x v="1"/>
    <x v="12"/>
  </r>
  <r>
    <x v="0"/>
    <n v="220"/>
    <x v="0"/>
    <x v="2"/>
    <x v="1"/>
    <n v="5500"/>
    <n v="0"/>
    <n v="0"/>
    <n v="9"/>
    <n v="0"/>
    <n v="9"/>
    <n v="1.6363636363636363E-3"/>
    <n v="0.99836363636363634"/>
    <n v="0"/>
    <n v="1"/>
    <n v="1.6363636363636363E-3"/>
    <n v="2"/>
    <x v="1"/>
    <x v="13"/>
  </r>
  <r>
    <x v="0"/>
    <n v="220"/>
    <x v="0"/>
    <x v="2"/>
    <x v="2"/>
    <n v="5500"/>
    <n v="0"/>
    <n v="4"/>
    <n v="13"/>
    <n v="0"/>
    <n v="17"/>
    <n v="3.0909090909090908E-3"/>
    <n v="0.99690909090909086"/>
    <n v="0"/>
    <n v="1"/>
    <n v="3.0909090909090908E-3"/>
    <n v="3"/>
    <x v="1"/>
    <x v="14"/>
  </r>
  <r>
    <x v="0"/>
    <n v="220"/>
    <x v="0"/>
    <x v="0"/>
    <x v="3"/>
    <n v="5720"/>
    <n v="0"/>
    <n v="3"/>
    <n v="27"/>
    <n v="34"/>
    <n v="64"/>
    <n v="1.1188811188811189E-2"/>
    <n v="0.98881118881118879"/>
    <n v="0"/>
    <n v="1"/>
    <n v="1.1188811188811189E-2"/>
    <n v="4"/>
    <x v="1"/>
    <x v="15"/>
  </r>
  <r>
    <x v="0"/>
    <n v="220"/>
    <x v="0"/>
    <x v="7"/>
    <x v="4"/>
    <n v="1100"/>
    <n v="0"/>
    <n v="0"/>
    <n v="15"/>
    <n v="10"/>
    <n v="25"/>
    <n v="2.2727272727272728E-2"/>
    <n v="0.97727272727272729"/>
    <n v="0"/>
    <n v="1"/>
    <n v="2.2727272727272728E-2"/>
    <n v="5"/>
    <x v="1"/>
    <x v="16"/>
  </r>
  <r>
    <x v="0"/>
    <n v="171"/>
    <x v="0"/>
    <x v="6"/>
    <x v="5"/>
    <n v="2394"/>
    <n v="0"/>
    <n v="0"/>
    <n v="22"/>
    <n v="18"/>
    <n v="40"/>
    <n v="1.6708437761069339E-2"/>
    <n v="0.98329156223893066"/>
    <n v="0"/>
    <n v="1"/>
    <n v="1.6708437761069339E-2"/>
    <n v="6"/>
    <x v="1"/>
    <x v="17"/>
  </r>
  <r>
    <x v="0"/>
    <n v="165"/>
    <x v="0"/>
    <x v="5"/>
    <x v="6"/>
    <n v="3795"/>
    <n v="5"/>
    <n v="0"/>
    <n v="35"/>
    <n v="15"/>
    <n v="55"/>
    <n v="1.4492753623188406E-2"/>
    <n v="0.98550724637681164"/>
    <n v="0"/>
    <n v="1"/>
    <n v="1.4492753623188406E-2"/>
    <n v="7"/>
    <x v="1"/>
    <x v="18"/>
  </r>
  <r>
    <x v="0"/>
    <n v="165"/>
    <x v="0"/>
    <x v="8"/>
    <x v="7"/>
    <n v="2805"/>
    <n v="0"/>
    <n v="0"/>
    <n v="0"/>
    <n v="0"/>
    <n v="0"/>
    <n v="0"/>
    <n v="1"/>
    <n v="0"/>
    <n v="1"/>
    <n v="0"/>
    <n v="8"/>
    <x v="1"/>
    <x v="19"/>
  </r>
  <r>
    <x v="0"/>
    <n v="164"/>
    <x v="0"/>
    <x v="3"/>
    <x v="8"/>
    <n v="3444"/>
    <n v="0"/>
    <n v="0"/>
    <n v="7"/>
    <n v="0"/>
    <n v="7"/>
    <n v="2.0325203252032522E-3"/>
    <n v="0.99796747967479671"/>
    <n v="0"/>
    <n v="1"/>
    <n v="2.0325203252032522E-3"/>
    <n v="9"/>
    <x v="1"/>
    <x v="20"/>
  </r>
  <r>
    <x v="0"/>
    <n v="174"/>
    <x v="0"/>
    <x v="5"/>
    <x v="9"/>
    <n v="4002"/>
    <n v="0"/>
    <n v="0"/>
    <n v="9"/>
    <n v="0"/>
    <n v="9"/>
    <n v="2.2488755622188904E-3"/>
    <n v="0.99775112443778113"/>
    <n v="0"/>
    <n v="1"/>
    <n v="2.2488755622188904E-3"/>
    <n v="10"/>
    <x v="1"/>
    <x v="21"/>
  </r>
  <r>
    <x v="0"/>
    <n v="206"/>
    <x v="0"/>
    <x v="3"/>
    <x v="10"/>
    <n v="4326"/>
    <n v="0"/>
    <n v="0"/>
    <n v="0"/>
    <n v="0"/>
    <n v="0"/>
    <n v="0"/>
    <n v="1"/>
    <n v="0"/>
    <n v="1"/>
    <n v="0"/>
    <n v="11"/>
    <x v="1"/>
    <x v="22"/>
  </r>
  <r>
    <x v="0"/>
    <n v="209"/>
    <x v="0"/>
    <x v="0"/>
    <x v="11"/>
    <n v="5434"/>
    <n v="0"/>
    <n v="0"/>
    <n v="17"/>
    <n v="0"/>
    <n v="17"/>
    <n v="3.1284504968715496E-3"/>
    <n v="0.9968715495031284"/>
    <n v="0"/>
    <n v="1"/>
    <n v="3.1284504968715496E-3"/>
    <n v="12"/>
    <x v="1"/>
    <x v="23"/>
  </r>
  <r>
    <x v="0"/>
    <n v="221"/>
    <x v="0"/>
    <x v="9"/>
    <x v="0"/>
    <n v="5967"/>
    <n v="0"/>
    <n v="0"/>
    <n v="27"/>
    <n v="0"/>
    <n v="27"/>
    <n v="4.5248868778280547E-3"/>
    <n v="0.99547511312217196"/>
    <n v="0.11700000000000001"/>
    <n v="0.88300000000000001"/>
    <n v="-0.11247511312217195"/>
    <n v="1"/>
    <x v="2"/>
    <x v="24"/>
  </r>
  <r>
    <x v="0"/>
    <n v="221"/>
    <x v="0"/>
    <x v="1"/>
    <x v="1"/>
    <n v="5304"/>
    <n v="11"/>
    <n v="2"/>
    <n v="0"/>
    <n v="0"/>
    <n v="13"/>
    <n v="2.4509803921568627E-3"/>
    <n v="0.99754901960784315"/>
    <n v="0.1038"/>
    <n v="0.8962"/>
    <n v="-0.10134901960784314"/>
    <n v="2"/>
    <x v="2"/>
    <x v="25"/>
  </r>
  <r>
    <x v="0"/>
    <n v="221"/>
    <x v="0"/>
    <x v="2"/>
    <x v="2"/>
    <n v="5525"/>
    <n v="0"/>
    <n v="2"/>
    <n v="0"/>
    <n v="0"/>
    <n v="2"/>
    <n v="3.6199095022624434E-4"/>
    <n v="0.99963800904977373"/>
    <n v="0.12559999999999999"/>
    <n v="0.87440000000000007"/>
    <n v="-0.12523800904977375"/>
    <n v="3"/>
    <x v="2"/>
    <x v="26"/>
  </r>
  <r>
    <x v="0"/>
    <n v="221"/>
    <x v="0"/>
    <x v="2"/>
    <x v="3"/>
    <n v="5525"/>
    <n v="0"/>
    <n v="0"/>
    <n v="0"/>
    <n v="0"/>
    <n v="0"/>
    <n v="0"/>
    <n v="1"/>
    <n v="0.1431"/>
    <n v="0.8569"/>
    <n v="-0.1431"/>
    <n v="4"/>
    <x v="2"/>
    <x v="27"/>
  </r>
  <r>
    <x v="0"/>
    <n v="221"/>
    <x v="0"/>
    <x v="10"/>
    <x v="4"/>
    <n v="3315"/>
    <n v="0"/>
    <n v="0"/>
    <n v="51"/>
    <n v="0"/>
    <n v="51"/>
    <n v="1.5384615384615385E-2"/>
    <n v="0.98461538461538467"/>
    <n v="0.1583"/>
    <n v="0.8417"/>
    <n v="-0.14291538461538461"/>
    <n v="5"/>
    <x v="2"/>
    <x v="28"/>
  </r>
  <r>
    <x v="0"/>
    <n v="207"/>
    <x v="0"/>
    <x v="7"/>
    <x v="5"/>
    <n v="1035"/>
    <n v="0"/>
    <n v="0"/>
    <n v="3"/>
    <n v="0"/>
    <n v="3"/>
    <n v="2.8985507246376812E-3"/>
    <n v="0.99710144927536237"/>
    <n v="0.15989999999999999"/>
    <n v="0.84010000000000007"/>
    <n v="-0.1570014492753623"/>
    <n v="6"/>
    <x v="2"/>
    <x v="29"/>
  </r>
  <r>
    <x v="0"/>
    <n v="155"/>
    <x v="0"/>
    <x v="5"/>
    <x v="6"/>
    <n v="3565"/>
    <n v="0"/>
    <n v="0"/>
    <n v="0"/>
    <n v="28"/>
    <n v="28"/>
    <n v="7.8541374474053304E-3"/>
    <n v="0.99214586255259463"/>
    <n v="0.12620000000000001"/>
    <n v="0.87380000000000002"/>
    <n v="-0.11834586255259467"/>
    <n v="7"/>
    <x v="2"/>
    <x v="30"/>
  </r>
  <r>
    <x v="0"/>
    <n v="154"/>
    <x v="0"/>
    <x v="3"/>
    <x v="7"/>
    <n v="3234"/>
    <n v="0"/>
    <n v="0"/>
    <n v="0"/>
    <n v="21"/>
    <n v="21"/>
    <n v="6.4935064935064939E-3"/>
    <n v="0.99350649350649356"/>
    <n v="8.7900000000000006E-2"/>
    <n v="0.91210000000000002"/>
    <n v="-8.140649350649351E-2"/>
    <n v="8"/>
    <x v="2"/>
    <x v="31"/>
  </r>
  <r>
    <x v="0"/>
    <n v="154"/>
    <x v="0"/>
    <x v="4"/>
    <x v="8"/>
    <n v="3388"/>
    <n v="0"/>
    <n v="0"/>
    <n v="0"/>
    <n v="0"/>
    <n v="0"/>
    <n v="0"/>
    <n v="1"/>
    <n v="7.8399999999999997E-2"/>
    <n v="0.92159999999999997"/>
    <n v="-7.8399999999999997E-2"/>
    <n v="9"/>
    <x v="2"/>
    <x v="32"/>
  </r>
  <r>
    <x v="0"/>
    <n v="174"/>
    <x v="0"/>
    <x v="11"/>
    <x v="9"/>
    <n v="3306"/>
    <n v="0"/>
    <n v="6"/>
    <n v="2"/>
    <n v="0"/>
    <n v="8"/>
    <n v="2.4198427102238356E-3"/>
    <n v="0.99758015728977611"/>
    <n v="8.7800000000000003E-2"/>
    <n v="0.91220000000000001"/>
    <n v="-8.5380157289776173E-2"/>
    <n v="10"/>
    <x v="2"/>
    <x v="33"/>
  </r>
  <r>
    <x v="0"/>
    <n v="316"/>
    <x v="1"/>
    <x v="0"/>
    <x v="0"/>
    <n v="8216"/>
    <n v="1183"/>
    <n v="0"/>
    <n v="88"/>
    <n v="31"/>
    <n v="1302"/>
    <n v="0.15847127555988316"/>
    <n v="0.84152872444011684"/>
    <n v="0"/>
    <n v="1"/>
    <n v="0.15847127555988316"/>
    <n v="1"/>
    <x v="0"/>
    <x v="0"/>
  </r>
  <r>
    <x v="0"/>
    <n v="316"/>
    <x v="1"/>
    <x v="1"/>
    <x v="1"/>
    <n v="7584"/>
    <n v="879"/>
    <n v="0"/>
    <n v="82"/>
    <n v="2"/>
    <n v="963"/>
    <n v="0.12697784810126583"/>
    <n v="0.87302215189873422"/>
    <n v="0"/>
    <n v="1"/>
    <n v="0.12697784810126583"/>
    <n v="2"/>
    <x v="0"/>
    <x v="1"/>
  </r>
  <r>
    <x v="0"/>
    <n v="316"/>
    <x v="1"/>
    <x v="0"/>
    <x v="2"/>
    <n v="8216"/>
    <n v="962"/>
    <n v="0"/>
    <n v="128"/>
    <n v="3"/>
    <n v="1093"/>
    <n v="0.13303310613437197"/>
    <n v="0.86696689386562809"/>
    <n v="0"/>
    <n v="1"/>
    <n v="0.13303310613437197"/>
    <n v="3"/>
    <x v="0"/>
    <x v="2"/>
  </r>
  <r>
    <x v="0"/>
    <n v="316"/>
    <x v="1"/>
    <x v="2"/>
    <x v="3"/>
    <n v="7900"/>
    <n v="981"/>
    <n v="0"/>
    <n v="116"/>
    <n v="4"/>
    <n v="1101"/>
    <n v="0.13936708860759495"/>
    <n v="0.86063291139240505"/>
    <n v="0"/>
    <n v="1"/>
    <n v="0.13936708860759495"/>
    <n v="4"/>
    <x v="0"/>
    <x v="3"/>
  </r>
  <r>
    <x v="0"/>
    <n v="316"/>
    <x v="1"/>
    <x v="12"/>
    <x v="4"/>
    <n v="3476"/>
    <n v="612"/>
    <n v="0"/>
    <n v="51"/>
    <n v="16"/>
    <n v="679"/>
    <n v="0.19533947065592636"/>
    <n v="0.80466052934407362"/>
    <n v="0"/>
    <n v="1"/>
    <n v="0.19533947065592636"/>
    <n v="5"/>
    <x v="0"/>
    <x v="4"/>
  </r>
  <r>
    <x v="0"/>
    <n v="147"/>
    <x v="1"/>
    <x v="4"/>
    <x v="5"/>
    <n v="3234"/>
    <n v="271"/>
    <n v="0"/>
    <n v="46"/>
    <n v="111"/>
    <n v="428"/>
    <n v="0.13234384662956092"/>
    <n v="0.86765615337043911"/>
    <n v="0"/>
    <n v="1"/>
    <n v="0.13234384662956092"/>
    <n v="6"/>
    <x v="0"/>
    <x v="5"/>
  </r>
  <r>
    <x v="0"/>
    <n v="147"/>
    <x v="1"/>
    <x v="3"/>
    <x v="6"/>
    <n v="3087"/>
    <n v="297"/>
    <n v="5"/>
    <n v="37"/>
    <n v="6"/>
    <n v="345"/>
    <n v="0.11175898931000972"/>
    <n v="0.88824101068999028"/>
    <n v="0"/>
    <n v="1"/>
    <n v="0.11175898931000972"/>
    <n v="7"/>
    <x v="0"/>
    <x v="6"/>
  </r>
  <r>
    <x v="0"/>
    <n v="147"/>
    <x v="1"/>
    <x v="5"/>
    <x v="7"/>
    <n v="3381"/>
    <n v="211"/>
    <n v="0"/>
    <n v="45"/>
    <n v="24"/>
    <n v="280"/>
    <n v="8.2815734989648032E-2"/>
    <n v="0.917184265010352"/>
    <n v="0"/>
    <n v="1"/>
    <n v="8.2815734989648032E-2"/>
    <n v="8"/>
    <x v="0"/>
    <x v="7"/>
  </r>
  <r>
    <x v="0"/>
    <n v="147"/>
    <x v="1"/>
    <x v="3"/>
    <x v="8"/>
    <n v="3087"/>
    <n v="166"/>
    <n v="0"/>
    <n v="42"/>
    <n v="4"/>
    <n v="212"/>
    <n v="6.8675089083252344E-2"/>
    <n v="0.93132491091674763"/>
    <n v="0"/>
    <n v="1"/>
    <n v="6.8675089083252344E-2"/>
    <n v="9"/>
    <x v="0"/>
    <x v="8"/>
  </r>
  <r>
    <x v="0"/>
    <n v="147"/>
    <x v="1"/>
    <x v="4"/>
    <x v="9"/>
    <n v="3234"/>
    <n v="240"/>
    <n v="0"/>
    <n v="79"/>
    <n v="0"/>
    <n v="319"/>
    <n v="9.8639455782312924E-2"/>
    <n v="0.90136054421768708"/>
    <n v="0"/>
    <n v="1"/>
    <n v="9.8639455782312924E-2"/>
    <n v="10"/>
    <x v="0"/>
    <x v="9"/>
  </r>
  <r>
    <x v="0"/>
    <n v="316"/>
    <x v="1"/>
    <x v="6"/>
    <x v="10"/>
    <n v="4424"/>
    <n v="570"/>
    <n v="0"/>
    <n v="46"/>
    <n v="14"/>
    <n v="630"/>
    <n v="0.14240506329113925"/>
    <n v="0.85759493670886078"/>
    <n v="0"/>
    <n v="1"/>
    <n v="0.14240506329113925"/>
    <n v="11"/>
    <x v="0"/>
    <x v="10"/>
  </r>
  <r>
    <x v="0"/>
    <n v="316"/>
    <x v="1"/>
    <x v="2"/>
    <x v="11"/>
    <n v="7900"/>
    <n v="852"/>
    <n v="0"/>
    <n v="107"/>
    <n v="33"/>
    <n v="992"/>
    <n v="0.12556962025316457"/>
    <n v="0.87443037974683546"/>
    <n v="0"/>
    <n v="1"/>
    <n v="0.12556962025316457"/>
    <n v="12"/>
    <x v="0"/>
    <x v="11"/>
  </r>
  <r>
    <x v="0"/>
    <n v="316"/>
    <x v="1"/>
    <x v="9"/>
    <x v="0"/>
    <n v="8532"/>
    <n v="955"/>
    <n v="0"/>
    <n v="125"/>
    <n v="33"/>
    <n v="1113"/>
    <n v="0.13045007032348804"/>
    <n v="0.8695499296765119"/>
    <n v="0"/>
    <n v="1"/>
    <n v="0.13045007032348804"/>
    <n v="1"/>
    <x v="1"/>
    <x v="12"/>
  </r>
  <r>
    <x v="0"/>
    <n v="316"/>
    <x v="1"/>
    <x v="2"/>
    <x v="1"/>
    <n v="7900"/>
    <n v="749"/>
    <n v="14"/>
    <n v="116"/>
    <n v="36"/>
    <n v="915"/>
    <n v="0.11582278481012659"/>
    <n v="0.88417721518987347"/>
    <n v="0"/>
    <n v="1"/>
    <n v="0.11582278481012659"/>
    <n v="2"/>
    <x v="1"/>
    <x v="13"/>
  </r>
  <r>
    <x v="0"/>
    <n v="316"/>
    <x v="1"/>
    <x v="0"/>
    <x v="2"/>
    <n v="8216"/>
    <n v="985"/>
    <n v="8"/>
    <n v="139"/>
    <n v="19"/>
    <n v="1151"/>
    <n v="0.1400925024342746"/>
    <n v="0.85990749756572538"/>
    <n v="0"/>
    <n v="1"/>
    <n v="0.1400925024342746"/>
    <n v="3"/>
    <x v="1"/>
    <x v="14"/>
  </r>
  <r>
    <x v="0"/>
    <n v="316"/>
    <x v="1"/>
    <x v="0"/>
    <x v="3"/>
    <n v="8216"/>
    <n v="1221"/>
    <n v="0"/>
    <n v="89"/>
    <n v="1"/>
    <n v="1311"/>
    <n v="0.15956669912366114"/>
    <n v="0.84043330087633883"/>
    <n v="0"/>
    <n v="1"/>
    <n v="0.15956669912366114"/>
    <n v="4"/>
    <x v="1"/>
    <x v="15"/>
  </r>
  <r>
    <x v="0"/>
    <n v="316"/>
    <x v="1"/>
    <x v="7"/>
    <x v="4"/>
    <n v="1580"/>
    <n v="269"/>
    <n v="0"/>
    <n v="0"/>
    <n v="10"/>
    <n v="279"/>
    <n v="0.17658227848101266"/>
    <n v="0.82341772151898729"/>
    <n v="0"/>
    <n v="1"/>
    <n v="0.17658227848101266"/>
    <n v="5"/>
    <x v="1"/>
    <x v="16"/>
  </r>
  <r>
    <x v="0"/>
    <n v="147"/>
    <x v="1"/>
    <x v="6"/>
    <x v="5"/>
    <n v="2058"/>
    <n v="311"/>
    <n v="13"/>
    <n v="43"/>
    <n v="0"/>
    <n v="367"/>
    <n v="0.17832847424684159"/>
    <n v="0.82167152575315838"/>
    <n v="0"/>
    <n v="1"/>
    <n v="0.17832847424684159"/>
    <n v="6"/>
    <x v="1"/>
    <x v="17"/>
  </r>
  <r>
    <x v="0"/>
    <n v="147"/>
    <x v="1"/>
    <x v="5"/>
    <x v="6"/>
    <n v="3381"/>
    <n v="376"/>
    <n v="0"/>
    <n v="92"/>
    <n v="8"/>
    <n v="476"/>
    <n v="0.14078674948240166"/>
    <n v="0.85921325051759834"/>
    <n v="0"/>
    <n v="1"/>
    <n v="0.14078674948240166"/>
    <n v="7"/>
    <x v="1"/>
    <x v="18"/>
  </r>
  <r>
    <x v="0"/>
    <n v="147"/>
    <x v="1"/>
    <x v="8"/>
    <x v="7"/>
    <n v="2499"/>
    <n v="194"/>
    <n v="0"/>
    <n v="38"/>
    <n v="13"/>
    <n v="245"/>
    <n v="9.8039215686274508E-2"/>
    <n v="0.90196078431372551"/>
    <n v="0"/>
    <n v="1"/>
    <n v="9.8039215686274508E-2"/>
    <n v="8"/>
    <x v="1"/>
    <x v="19"/>
  </r>
  <r>
    <x v="0"/>
    <n v="147"/>
    <x v="1"/>
    <x v="3"/>
    <x v="8"/>
    <n v="3087"/>
    <n v="209"/>
    <n v="0"/>
    <n v="28"/>
    <n v="33"/>
    <n v="270"/>
    <n v="8.7463556851311949E-2"/>
    <n v="0.91253644314868809"/>
    <n v="0"/>
    <n v="1"/>
    <n v="8.7463556851311949E-2"/>
    <n v="9"/>
    <x v="1"/>
    <x v="20"/>
  </r>
  <r>
    <x v="0"/>
    <n v="147"/>
    <x v="1"/>
    <x v="5"/>
    <x v="9"/>
    <n v="3381"/>
    <n v="129"/>
    <n v="127"/>
    <n v="46"/>
    <n v="29"/>
    <n v="331"/>
    <n v="9.7900029577048214E-2"/>
    <n v="0.90209997042295176"/>
    <n v="0"/>
    <n v="1"/>
    <n v="9.7900029577048214E-2"/>
    <n v="10"/>
    <x v="1"/>
    <x v="21"/>
  </r>
  <r>
    <x v="0"/>
    <n v="147"/>
    <x v="1"/>
    <x v="3"/>
    <x v="10"/>
    <n v="3087"/>
    <n v="202"/>
    <n v="0"/>
    <n v="54"/>
    <n v="26"/>
    <n v="282"/>
    <n v="9.1350826044703598E-2"/>
    <n v="0.90864917395529643"/>
    <n v="0"/>
    <n v="1"/>
    <n v="9.1350826044703598E-2"/>
    <n v="11"/>
    <x v="1"/>
    <x v="22"/>
  </r>
  <r>
    <x v="0"/>
    <n v="316"/>
    <x v="1"/>
    <x v="0"/>
    <x v="11"/>
    <n v="8216"/>
    <n v="844"/>
    <n v="0"/>
    <n v="113"/>
    <n v="52"/>
    <n v="1009"/>
    <n v="0.12280915287244401"/>
    <n v="0.87719084712755602"/>
    <n v="0"/>
    <n v="1"/>
    <n v="0.12280915287244401"/>
    <n v="12"/>
    <x v="1"/>
    <x v="23"/>
  </r>
  <r>
    <x v="0"/>
    <n v="316"/>
    <x v="1"/>
    <x v="9"/>
    <x v="0"/>
    <n v="8532"/>
    <n v="845"/>
    <n v="0"/>
    <n v="110"/>
    <n v="15"/>
    <n v="970"/>
    <n v="0.1136896390060947"/>
    <n v="0.88631036099390526"/>
    <n v="0.11700000000000001"/>
    <n v="0.88300000000000001"/>
    <n v="-3.3103609939053036E-3"/>
    <n v="1"/>
    <x v="2"/>
    <x v="24"/>
  </r>
  <r>
    <x v="0"/>
    <n v="316"/>
    <x v="1"/>
    <x v="1"/>
    <x v="1"/>
    <n v="7584"/>
    <n v="1099"/>
    <n v="0"/>
    <n v="62"/>
    <n v="30"/>
    <n v="1191"/>
    <n v="0.15704113924050633"/>
    <n v="0.84295886075949367"/>
    <n v="0.1038"/>
    <n v="0.8962"/>
    <n v="5.324113924050633E-2"/>
    <n v="2"/>
    <x v="2"/>
    <x v="25"/>
  </r>
  <r>
    <x v="0"/>
    <n v="316"/>
    <x v="1"/>
    <x v="2"/>
    <x v="2"/>
    <n v="7900"/>
    <n v="731"/>
    <n v="0"/>
    <n v="28"/>
    <n v="8"/>
    <n v="767"/>
    <n v="9.7088607594936704E-2"/>
    <n v="0.90291139240506335"/>
    <n v="0.12559999999999999"/>
    <n v="0.87440000000000007"/>
    <n v="-2.8511392405063285E-2"/>
    <n v="3"/>
    <x v="2"/>
    <x v="26"/>
  </r>
  <r>
    <x v="0"/>
    <n v="316"/>
    <x v="1"/>
    <x v="2"/>
    <x v="3"/>
    <n v="7900"/>
    <n v="762"/>
    <n v="0"/>
    <n v="46"/>
    <n v="17"/>
    <n v="825"/>
    <n v="0.10443037974683544"/>
    <n v="0.89556962025316456"/>
    <n v="0.1431"/>
    <n v="0.8569"/>
    <n v="-3.8669620253164561E-2"/>
    <n v="4"/>
    <x v="2"/>
    <x v="27"/>
  </r>
  <r>
    <x v="0"/>
    <n v="316"/>
    <x v="1"/>
    <x v="2"/>
    <x v="4"/>
    <n v="7900"/>
    <n v="698"/>
    <n v="0"/>
    <n v="32"/>
    <n v="39"/>
    <n v="769"/>
    <n v="9.7341772151898737E-2"/>
    <n v="0.90265822784810124"/>
    <n v="0.1583"/>
    <n v="0.8417"/>
    <n v="-6.095822784810126E-2"/>
    <n v="5"/>
    <x v="2"/>
    <x v="28"/>
  </r>
  <r>
    <x v="0"/>
    <n v="146"/>
    <x v="1"/>
    <x v="7"/>
    <x v="5"/>
    <n v="730"/>
    <n v="74"/>
    <n v="0"/>
    <n v="10"/>
    <n v="0"/>
    <n v="84"/>
    <n v="0.11506849315068493"/>
    <n v="0.8849315068493151"/>
    <n v="0.15989999999999999"/>
    <n v="0.84010000000000007"/>
    <n v="-4.4831506849315056E-2"/>
    <n v="6"/>
    <x v="2"/>
    <x v="29"/>
  </r>
  <r>
    <x v="0"/>
    <n v="146"/>
    <x v="1"/>
    <x v="5"/>
    <x v="6"/>
    <n v="3358"/>
    <n v="214"/>
    <n v="11"/>
    <n v="55"/>
    <n v="22"/>
    <n v="302"/>
    <n v="8.9934484812388332E-2"/>
    <n v="0.9100655151876117"/>
    <n v="0.12620000000000001"/>
    <n v="0.87380000000000002"/>
    <n v="-3.6265515187611674E-2"/>
    <n v="7"/>
    <x v="2"/>
    <x v="30"/>
  </r>
  <r>
    <x v="0"/>
    <n v="147"/>
    <x v="1"/>
    <x v="3"/>
    <x v="7"/>
    <n v="3087"/>
    <n v="183"/>
    <n v="0"/>
    <n v="44"/>
    <n v="18"/>
    <n v="245"/>
    <n v="7.9365079365079361E-2"/>
    <n v="0.92063492063492069"/>
    <n v="8.7900000000000006E-2"/>
    <n v="0.91210000000000002"/>
    <n v="-8.5349206349206452E-3"/>
    <n v="8"/>
    <x v="2"/>
    <x v="31"/>
  </r>
  <r>
    <x v="0"/>
    <n v="147"/>
    <x v="1"/>
    <x v="4"/>
    <x v="8"/>
    <n v="3234"/>
    <n v="153"/>
    <n v="0"/>
    <n v="81"/>
    <n v="1"/>
    <n v="235"/>
    <n v="7.2665429808286955E-2"/>
    <n v="0.92733457019171306"/>
    <n v="7.8399999999999997E-2"/>
    <n v="0.92159999999999997"/>
    <n v="-5.7345701917130426E-3"/>
    <n v="9"/>
    <x v="2"/>
    <x v="32"/>
  </r>
  <r>
    <x v="0"/>
    <n v="147"/>
    <x v="1"/>
    <x v="11"/>
    <x v="9"/>
    <n v="2793"/>
    <n v="168"/>
    <n v="0"/>
    <n v="50"/>
    <n v="0"/>
    <n v="218"/>
    <n v="7.8052273540995351E-2"/>
    <n v="0.92194772645900469"/>
    <n v="8.7800000000000003E-2"/>
    <n v="0.91220000000000001"/>
    <n v="-9.747726459004652E-3"/>
    <n v="10"/>
    <x v="2"/>
    <x v="33"/>
  </r>
  <r>
    <x v="0"/>
    <n v="147"/>
    <x v="1"/>
    <x v="8"/>
    <x v="10"/>
    <n v="2499"/>
    <n v="228"/>
    <n v="0"/>
    <n v="32"/>
    <n v="0"/>
    <n v="260"/>
    <n v="0.10404161664665866"/>
    <n v="0.89595838335334133"/>
    <n v="8.1900000000000001E-2"/>
    <n v="0.91810000000000003"/>
    <n v="2.214161664665866E-2"/>
    <n v="11"/>
    <x v="2"/>
    <x v="34"/>
  </r>
  <r>
    <x v="0"/>
    <n v="211"/>
    <x v="0"/>
    <x v="8"/>
    <x v="10"/>
    <n v="3587"/>
    <n v="0"/>
    <n v="14"/>
    <n v="1"/>
    <n v="3"/>
    <n v="18"/>
    <n v="5.0181209924728184E-3"/>
    <n v="0.99498187900752721"/>
    <n v="8.1900000000000001E-2"/>
    <n v="0.91810000000000003"/>
    <n v="-7.6881879007527187E-2"/>
    <n v="11"/>
    <x v="2"/>
    <x v="34"/>
  </r>
  <r>
    <x v="0"/>
    <n v="316"/>
    <x v="1"/>
    <x v="0"/>
    <x v="11"/>
    <n v="8216"/>
    <n v="739"/>
    <n v="0"/>
    <n v="147"/>
    <n v="38"/>
    <n v="924"/>
    <n v="0.1124634858812074"/>
    <n v="0.88753651411879264"/>
    <n v="0.1101"/>
    <n v="0.88990000000000002"/>
    <n v="2.3634858812073972E-3"/>
    <n v="12"/>
    <x v="2"/>
    <x v="35"/>
  </r>
  <r>
    <x v="0"/>
    <n v="268"/>
    <x v="0"/>
    <x v="0"/>
    <x v="11"/>
    <n v="6968"/>
    <n v="0"/>
    <n v="2"/>
    <n v="26"/>
    <n v="0"/>
    <n v="28"/>
    <n v="4.018369690011481E-3"/>
    <n v="0.99598163030998854"/>
    <n v="0.1101"/>
    <n v="0.88990000000000002"/>
    <n v="-0.10608163030998852"/>
    <n v="12"/>
    <x v="2"/>
    <x v="35"/>
  </r>
  <r>
    <x v="0"/>
    <n v="316"/>
    <x v="1"/>
    <x v="5"/>
    <x v="0"/>
    <n v="7268"/>
    <n v="1064"/>
    <n v="0"/>
    <n v="124"/>
    <n v="10"/>
    <n v="1198"/>
    <n v="0.16483214089157952"/>
    <n v="0.83516785910842051"/>
    <n v="0.11169999999999999"/>
    <n v="0.88829999999999998"/>
    <n v="5.3132140891579527E-2"/>
    <n v="1"/>
    <x v="3"/>
    <x v="36"/>
  </r>
  <r>
    <x v="0"/>
    <n v="213"/>
    <x v="0"/>
    <x v="5"/>
    <x v="0"/>
    <n v="4899"/>
    <n v="0"/>
    <n v="0"/>
    <n v="27"/>
    <n v="0"/>
    <n v="27"/>
    <n v="5.5113288426209429E-3"/>
    <n v="0.99448867115737904"/>
    <n v="0.11169999999999999"/>
    <n v="0.88829999999999998"/>
    <n v="-0.10618867115737905"/>
    <n v="1"/>
    <x v="3"/>
    <x v="36"/>
  </r>
  <r>
    <x v="0"/>
    <n v="316"/>
    <x v="1"/>
    <x v="1"/>
    <x v="1"/>
    <n v="7584"/>
    <n v="565"/>
    <n v="0"/>
    <n v="115"/>
    <n v="49"/>
    <n v="729"/>
    <n v="9.6123417721518986E-2"/>
    <n v="0.903876582278481"/>
    <n v="0.15429999999999999"/>
    <n v="0.84570000000000001"/>
    <n v="-5.8176582278481007E-2"/>
    <n v="2"/>
    <x v="3"/>
    <x v="37"/>
  </r>
  <r>
    <x v="0"/>
    <n v="216"/>
    <x v="0"/>
    <x v="1"/>
    <x v="1"/>
    <n v="5184"/>
    <n v="0"/>
    <n v="3"/>
    <n v="22"/>
    <n v="0"/>
    <n v="25"/>
    <n v="4.8225308641975306E-3"/>
    <n v="0.99517746913580252"/>
    <n v="0.15429999999999999"/>
    <n v="0.84570000000000001"/>
    <n v="-0.14947746913580245"/>
    <n v="2"/>
    <x v="3"/>
    <x v="37"/>
  </r>
  <r>
    <x v="0"/>
    <n v="316"/>
    <x v="1"/>
    <x v="0"/>
    <x v="2"/>
    <n v="8216"/>
    <n v="744"/>
    <n v="0"/>
    <n v="97"/>
    <n v="36"/>
    <n v="877"/>
    <n v="0.1067429406037001"/>
    <n v="0.89325705939629985"/>
    <n v="9.5399999999999999E-2"/>
    <n v="0.90459999999999996"/>
    <n v="1.13429406037001E-2"/>
    <n v="3"/>
    <x v="3"/>
    <x v="38"/>
  </r>
  <r>
    <x v="0"/>
    <n v="220"/>
    <x v="0"/>
    <x v="0"/>
    <x v="2"/>
    <n v="5720"/>
    <n v="0"/>
    <n v="0"/>
    <n v="37"/>
    <n v="0"/>
    <n v="37"/>
    <n v="6.4685314685314684E-3"/>
    <n v="0.99353146853146856"/>
    <n v="9.5399999999999999E-2"/>
    <n v="0.90459999999999996"/>
    <n v="-8.8931468531468535E-2"/>
    <n v="3"/>
    <x v="3"/>
    <x v="38"/>
  </r>
  <r>
    <x v="0"/>
    <n v="316"/>
    <x v="1"/>
    <x v="0"/>
    <x v="3"/>
    <n v="8216"/>
    <n v="793"/>
    <n v="0"/>
    <n v="137"/>
    <n v="52"/>
    <n v="982"/>
    <n v="0.11952288218111003"/>
    <n v="0.88047711781888993"/>
    <n v="0.1026"/>
    <n v="0.89739999999999998"/>
    <n v="1.692288218111003E-2"/>
    <n v="4"/>
    <x v="3"/>
    <x v="39"/>
  </r>
  <r>
    <x v="0"/>
    <n v="218"/>
    <x v="0"/>
    <x v="0"/>
    <x v="3"/>
    <n v="5668"/>
    <n v="0"/>
    <n v="0"/>
    <n v="75"/>
    <n v="0"/>
    <n v="75"/>
    <n v="1.3232180663373325E-2"/>
    <n v="0.98676781933662672"/>
    <n v="0.1026"/>
    <n v="0.89739999999999998"/>
    <n v="-8.9367819336626672E-2"/>
    <n v="4"/>
    <x v="3"/>
    <x v="39"/>
  </r>
  <r>
    <x v="0"/>
    <m/>
    <x v="1"/>
    <x v="13"/>
    <x v="4"/>
    <m/>
    <m/>
    <m/>
    <m/>
    <m/>
    <m/>
    <m/>
    <m/>
    <n v="9.5699999999999993E-2"/>
    <n v="0.90429999999999999"/>
    <m/>
    <n v="5"/>
    <x v="3"/>
    <x v="40"/>
  </r>
  <r>
    <x v="0"/>
    <m/>
    <x v="0"/>
    <x v="13"/>
    <x v="4"/>
    <m/>
    <m/>
    <m/>
    <m/>
    <m/>
    <m/>
    <m/>
    <m/>
    <n v="9.5699999999999993E-2"/>
    <n v="0.90429999999999999"/>
    <m/>
    <n v="5"/>
    <x v="3"/>
    <x v="40"/>
  </r>
  <r>
    <x v="0"/>
    <m/>
    <x v="1"/>
    <x v="13"/>
    <x v="5"/>
    <m/>
    <m/>
    <m/>
    <m/>
    <m/>
    <m/>
    <m/>
    <m/>
    <n v="0.11310000000000001"/>
    <n v="0.88690000000000002"/>
    <m/>
    <n v="6"/>
    <x v="3"/>
    <x v="41"/>
  </r>
  <r>
    <x v="0"/>
    <m/>
    <x v="0"/>
    <x v="13"/>
    <x v="5"/>
    <m/>
    <m/>
    <m/>
    <m/>
    <m/>
    <m/>
    <m/>
    <m/>
    <n v="0.11310000000000001"/>
    <n v="0.88690000000000002"/>
    <m/>
    <n v="6"/>
    <x v="3"/>
    <x v="41"/>
  </r>
  <r>
    <x v="0"/>
    <m/>
    <x v="1"/>
    <x v="13"/>
    <x v="6"/>
    <m/>
    <m/>
    <m/>
    <m/>
    <m/>
    <m/>
    <m/>
    <m/>
    <n v="8.8300000000000003E-2"/>
    <n v="0.91169999999999995"/>
    <m/>
    <n v="7"/>
    <x v="3"/>
    <x v="42"/>
  </r>
  <r>
    <x v="0"/>
    <m/>
    <x v="0"/>
    <x v="13"/>
    <x v="6"/>
    <m/>
    <m/>
    <m/>
    <m/>
    <m/>
    <m/>
    <m/>
    <m/>
    <n v="8.8300000000000003E-2"/>
    <n v="0.91169999999999995"/>
    <m/>
    <n v="7"/>
    <x v="3"/>
    <x v="42"/>
  </r>
  <r>
    <x v="0"/>
    <m/>
    <x v="1"/>
    <x v="13"/>
    <x v="7"/>
    <m/>
    <m/>
    <m/>
    <m/>
    <m/>
    <m/>
    <m/>
    <m/>
    <n v="7.8E-2"/>
    <n v="0.92200000000000004"/>
    <m/>
    <n v="8"/>
    <x v="3"/>
    <x v="43"/>
  </r>
  <r>
    <x v="0"/>
    <m/>
    <x v="0"/>
    <x v="13"/>
    <x v="7"/>
    <m/>
    <m/>
    <m/>
    <m/>
    <m/>
    <m/>
    <m/>
    <m/>
    <n v="7.8E-2"/>
    <n v="0.92200000000000004"/>
    <m/>
    <n v="8"/>
    <x v="3"/>
    <x v="43"/>
  </r>
  <r>
    <x v="0"/>
    <m/>
    <x v="1"/>
    <x v="13"/>
    <x v="8"/>
    <m/>
    <m/>
    <m/>
    <m/>
    <m/>
    <m/>
    <m/>
    <m/>
    <n v="7.1400000000000005E-2"/>
    <n v="0.92859999999999998"/>
    <m/>
    <n v="9"/>
    <x v="3"/>
    <x v="44"/>
  </r>
  <r>
    <x v="0"/>
    <m/>
    <x v="0"/>
    <x v="13"/>
    <x v="8"/>
    <m/>
    <m/>
    <m/>
    <m/>
    <m/>
    <m/>
    <m/>
    <m/>
    <n v="7.1400000000000005E-2"/>
    <n v="0.92859999999999998"/>
    <m/>
    <n v="9"/>
    <x v="3"/>
    <x v="44"/>
  </r>
  <r>
    <x v="0"/>
    <m/>
    <x v="1"/>
    <x v="13"/>
    <x v="9"/>
    <m/>
    <m/>
    <m/>
    <m/>
    <m/>
    <m/>
    <m/>
    <m/>
    <n v="7.6700000000000004E-2"/>
    <n v="0.92330000000000001"/>
    <m/>
    <n v="10"/>
    <x v="3"/>
    <x v="45"/>
  </r>
  <r>
    <x v="0"/>
    <m/>
    <x v="0"/>
    <x v="13"/>
    <x v="9"/>
    <m/>
    <m/>
    <m/>
    <m/>
    <m/>
    <m/>
    <m/>
    <m/>
    <n v="7.6700000000000004E-2"/>
    <n v="0.92330000000000001"/>
    <m/>
    <n v="10"/>
    <x v="3"/>
    <x v="45"/>
  </r>
  <r>
    <x v="0"/>
    <m/>
    <x v="1"/>
    <x v="13"/>
    <x v="10"/>
    <m/>
    <m/>
    <m/>
    <m/>
    <m/>
    <m/>
    <m/>
    <m/>
    <n v="0.1022"/>
    <n v="0.89780000000000004"/>
    <m/>
    <n v="11"/>
    <x v="3"/>
    <x v="46"/>
  </r>
  <r>
    <x v="0"/>
    <m/>
    <x v="0"/>
    <x v="13"/>
    <x v="10"/>
    <m/>
    <m/>
    <m/>
    <m/>
    <m/>
    <m/>
    <m/>
    <m/>
    <n v="0.1022"/>
    <n v="0.89780000000000004"/>
    <m/>
    <n v="11"/>
    <x v="3"/>
    <x v="46"/>
  </r>
  <r>
    <x v="0"/>
    <m/>
    <x v="1"/>
    <x v="13"/>
    <x v="11"/>
    <m/>
    <m/>
    <m/>
    <m/>
    <m/>
    <m/>
    <m/>
    <m/>
    <n v="0.1106"/>
    <n v="0.88939999999999997"/>
    <m/>
    <n v="12"/>
    <x v="3"/>
    <x v="47"/>
  </r>
  <r>
    <x v="0"/>
    <m/>
    <x v="0"/>
    <x v="13"/>
    <x v="11"/>
    <m/>
    <m/>
    <m/>
    <m/>
    <m/>
    <m/>
    <m/>
    <m/>
    <n v="0.1106"/>
    <n v="0.88939999999999997"/>
    <m/>
    <n v="12"/>
    <x v="3"/>
    <x v="47"/>
  </r>
  <r>
    <x v="1"/>
    <n v="112"/>
    <x v="0"/>
    <x v="0"/>
    <x v="0"/>
    <n v="2912"/>
    <n v="0"/>
    <n v="0"/>
    <n v="42"/>
    <n v="0"/>
    <n v="42"/>
    <n v="1.4423076923076924E-2"/>
    <n v="0.98557692307692313"/>
    <n v="0"/>
    <n v="1"/>
    <n v="1.4423076923076924E-2"/>
    <n v="1"/>
    <x v="0"/>
    <x v="0"/>
  </r>
  <r>
    <x v="1"/>
    <n v="112"/>
    <x v="0"/>
    <x v="5"/>
    <x v="1"/>
    <n v="2576"/>
    <n v="0"/>
    <n v="0"/>
    <n v="48"/>
    <n v="0"/>
    <n v="48"/>
    <n v="1.8633540372670808E-2"/>
    <n v="0.98136645962732916"/>
    <n v="0"/>
    <n v="1"/>
    <n v="1.8633540372670808E-2"/>
    <n v="2"/>
    <x v="0"/>
    <x v="1"/>
  </r>
  <r>
    <x v="1"/>
    <n v="111"/>
    <x v="0"/>
    <x v="0"/>
    <x v="2"/>
    <n v="2886"/>
    <n v="0"/>
    <n v="0"/>
    <n v="42"/>
    <n v="12"/>
    <n v="54"/>
    <n v="1.8711018711018712E-2"/>
    <n v="0.98128898128898134"/>
    <n v="0"/>
    <n v="1"/>
    <n v="1.8711018711018712E-2"/>
    <n v="3"/>
    <x v="0"/>
    <x v="2"/>
  </r>
  <r>
    <x v="1"/>
    <n v="111"/>
    <x v="0"/>
    <x v="1"/>
    <x v="3"/>
    <n v="2664"/>
    <n v="0"/>
    <n v="0"/>
    <n v="12"/>
    <n v="24"/>
    <n v="36"/>
    <n v="1.3513513513513514E-2"/>
    <n v="0.98648648648648651"/>
    <n v="0"/>
    <n v="1"/>
    <n v="1.3513513513513514E-2"/>
    <n v="4"/>
    <x v="0"/>
    <x v="3"/>
  </r>
  <r>
    <x v="1"/>
    <n v="111"/>
    <x v="0"/>
    <x v="10"/>
    <x v="4"/>
    <n v="1665"/>
    <n v="0"/>
    <n v="0"/>
    <n v="5"/>
    <n v="31"/>
    <n v="36"/>
    <n v="2.1621621621621623E-2"/>
    <n v="0.97837837837837838"/>
    <n v="0"/>
    <n v="1"/>
    <n v="2.1621621621621623E-2"/>
    <n v="5"/>
    <x v="0"/>
    <x v="4"/>
  </r>
  <r>
    <x v="1"/>
    <n v="90"/>
    <x v="0"/>
    <x v="4"/>
    <x v="5"/>
    <n v="1980"/>
    <n v="0"/>
    <n v="0"/>
    <n v="6"/>
    <n v="0"/>
    <n v="6"/>
    <n v="3.0303030303030303E-3"/>
    <n v="0.99696969696969695"/>
    <n v="0"/>
    <n v="1"/>
    <n v="3.0303030303030303E-3"/>
    <n v="6"/>
    <x v="0"/>
    <x v="5"/>
  </r>
  <r>
    <x v="1"/>
    <n v="87"/>
    <x v="0"/>
    <x v="3"/>
    <x v="6"/>
    <n v="1827"/>
    <n v="0"/>
    <n v="1"/>
    <n v="0"/>
    <n v="1"/>
    <n v="2"/>
    <n v="1.0946907498631637E-3"/>
    <n v="0.99890530925013687"/>
    <n v="0"/>
    <n v="1"/>
    <n v="1.0946907498631637E-3"/>
    <n v="7"/>
    <x v="0"/>
    <x v="6"/>
  </r>
  <r>
    <x v="1"/>
    <n v="83"/>
    <x v="0"/>
    <x v="5"/>
    <x v="7"/>
    <n v="1909"/>
    <n v="0"/>
    <n v="0"/>
    <n v="2"/>
    <n v="0"/>
    <n v="2"/>
    <n v="1.0476689366160294E-3"/>
    <n v="0.99895233106338399"/>
    <n v="0"/>
    <n v="1"/>
    <n v="1.0476689366160294E-3"/>
    <n v="8"/>
    <x v="0"/>
    <x v="7"/>
  </r>
  <r>
    <x v="1"/>
    <n v="86"/>
    <x v="0"/>
    <x v="14"/>
    <x v="8"/>
    <n v="1720"/>
    <n v="0"/>
    <n v="0"/>
    <n v="17"/>
    <n v="31"/>
    <n v="48"/>
    <n v="2.7906976744186046E-2"/>
    <n v="0.97209302325581393"/>
    <n v="0"/>
    <n v="1"/>
    <n v="2.7906976744186046E-2"/>
    <n v="9"/>
    <x v="0"/>
    <x v="8"/>
  </r>
  <r>
    <x v="1"/>
    <n v="92"/>
    <x v="0"/>
    <x v="3"/>
    <x v="9"/>
    <n v="1932"/>
    <n v="0"/>
    <n v="0"/>
    <n v="0"/>
    <n v="42"/>
    <n v="42"/>
    <n v="2.1739130434782608E-2"/>
    <n v="0.97826086956521741"/>
    <n v="0"/>
    <n v="1"/>
    <n v="2.1739130434782608E-2"/>
    <n v="10"/>
    <x v="0"/>
    <x v="9"/>
  </r>
  <r>
    <x v="1"/>
    <n v="108"/>
    <x v="0"/>
    <x v="5"/>
    <x v="10"/>
    <n v="2484"/>
    <n v="0"/>
    <n v="0"/>
    <n v="46"/>
    <n v="0"/>
    <n v="46"/>
    <n v="1.8518518518518517E-2"/>
    <n v="0.98148148148148151"/>
    <n v="0"/>
    <n v="1"/>
    <n v="1.8518518518518517E-2"/>
    <n v="11"/>
    <x v="0"/>
    <x v="10"/>
  </r>
  <r>
    <x v="1"/>
    <n v="108"/>
    <x v="0"/>
    <x v="2"/>
    <x v="11"/>
    <n v="2700"/>
    <n v="0"/>
    <n v="0"/>
    <n v="2"/>
    <n v="4"/>
    <n v="6"/>
    <n v="2.2222222222222222E-3"/>
    <n v="0.99777777777777776"/>
    <n v="0"/>
    <n v="1"/>
    <n v="2.2222222222222222E-3"/>
    <n v="12"/>
    <x v="0"/>
    <x v="11"/>
  </r>
  <r>
    <x v="1"/>
    <n v="115"/>
    <x v="0"/>
    <x v="2"/>
    <x v="0"/>
    <n v="2875"/>
    <n v="0"/>
    <n v="0"/>
    <n v="0"/>
    <n v="0"/>
    <n v="0"/>
    <n v="0"/>
    <n v="1"/>
    <n v="0"/>
    <n v="1"/>
    <n v="0"/>
    <n v="1"/>
    <x v="1"/>
    <x v="12"/>
  </r>
  <r>
    <x v="1"/>
    <n v="125"/>
    <x v="0"/>
    <x v="1"/>
    <x v="1"/>
    <n v="3000"/>
    <n v="0"/>
    <n v="0"/>
    <n v="0"/>
    <n v="0"/>
    <n v="0"/>
    <n v="0"/>
    <n v="1"/>
    <n v="0"/>
    <n v="1"/>
    <n v="0"/>
    <n v="2"/>
    <x v="1"/>
    <x v="13"/>
  </r>
  <r>
    <x v="1"/>
    <n v="125"/>
    <x v="0"/>
    <x v="1"/>
    <x v="2"/>
    <n v="3000"/>
    <n v="0"/>
    <n v="0"/>
    <n v="0"/>
    <n v="0"/>
    <n v="0"/>
    <n v="0"/>
    <n v="1"/>
    <n v="0"/>
    <n v="1"/>
    <n v="0"/>
    <n v="3"/>
    <x v="1"/>
    <x v="14"/>
  </r>
  <r>
    <x v="1"/>
    <n v="125"/>
    <x v="0"/>
    <x v="0"/>
    <x v="3"/>
    <n v="3250"/>
    <n v="0"/>
    <n v="0"/>
    <n v="19"/>
    <n v="0"/>
    <n v="19"/>
    <n v="5.8461538461538464E-3"/>
    <n v="0.99415384615384617"/>
    <n v="0"/>
    <n v="1"/>
    <n v="5.8461538461538464E-3"/>
    <n v="4"/>
    <x v="1"/>
    <x v="15"/>
  </r>
  <r>
    <x v="1"/>
    <n v="125"/>
    <x v="0"/>
    <x v="0"/>
    <x v="4"/>
    <n v="3250"/>
    <n v="0"/>
    <n v="0"/>
    <n v="0"/>
    <n v="0"/>
    <n v="0"/>
    <n v="0"/>
    <n v="1"/>
    <n v="0"/>
    <n v="1"/>
    <n v="0"/>
    <n v="5"/>
    <x v="1"/>
    <x v="16"/>
  </r>
  <r>
    <x v="1"/>
    <n v="106"/>
    <x v="0"/>
    <x v="14"/>
    <x v="5"/>
    <n v="2120"/>
    <n v="0"/>
    <n v="0"/>
    <n v="0"/>
    <n v="0"/>
    <n v="0"/>
    <n v="0"/>
    <n v="1"/>
    <n v="0"/>
    <n v="1"/>
    <n v="0"/>
    <n v="6"/>
    <x v="1"/>
    <x v="17"/>
  </r>
  <r>
    <x v="1"/>
    <n v="102"/>
    <x v="0"/>
    <x v="5"/>
    <x v="6"/>
    <n v="2346"/>
    <n v="0"/>
    <n v="0"/>
    <n v="17"/>
    <n v="1"/>
    <n v="18"/>
    <n v="7.6726342710997444E-3"/>
    <n v="0.99232736572890023"/>
    <n v="0"/>
    <n v="1"/>
    <n v="7.6726342710997444E-3"/>
    <n v="7"/>
    <x v="1"/>
    <x v="18"/>
  </r>
  <r>
    <x v="1"/>
    <n v="96"/>
    <x v="0"/>
    <x v="4"/>
    <x v="7"/>
    <n v="2112"/>
    <n v="0"/>
    <n v="0"/>
    <n v="0"/>
    <n v="0"/>
    <n v="0"/>
    <n v="0"/>
    <n v="1"/>
    <n v="0"/>
    <n v="1"/>
    <n v="0"/>
    <n v="8"/>
    <x v="1"/>
    <x v="19"/>
  </r>
  <r>
    <x v="1"/>
    <n v="96"/>
    <x v="0"/>
    <x v="14"/>
    <x v="8"/>
    <n v="1920"/>
    <n v="0"/>
    <n v="0"/>
    <n v="0"/>
    <n v="0"/>
    <n v="0"/>
    <n v="0"/>
    <n v="1"/>
    <n v="0"/>
    <n v="1"/>
    <n v="0"/>
    <n v="9"/>
    <x v="1"/>
    <x v="20"/>
  </r>
  <r>
    <x v="1"/>
    <n v="107"/>
    <x v="0"/>
    <x v="4"/>
    <x v="9"/>
    <n v="2354"/>
    <n v="0"/>
    <n v="0"/>
    <n v="0"/>
    <n v="0"/>
    <n v="0"/>
    <n v="0"/>
    <n v="1"/>
    <n v="0"/>
    <n v="1"/>
    <n v="0"/>
    <n v="10"/>
    <x v="1"/>
    <x v="21"/>
  </r>
  <r>
    <x v="1"/>
    <n v="118"/>
    <x v="0"/>
    <x v="3"/>
    <x v="10"/>
    <n v="2478"/>
    <n v="0"/>
    <n v="0"/>
    <n v="0"/>
    <n v="0"/>
    <n v="0"/>
    <n v="0"/>
    <n v="1"/>
    <n v="0"/>
    <n v="1"/>
    <n v="0"/>
    <n v="11"/>
    <x v="1"/>
    <x v="22"/>
  </r>
  <r>
    <x v="1"/>
    <n v="123"/>
    <x v="0"/>
    <x v="2"/>
    <x v="11"/>
    <n v="3075"/>
    <n v="0"/>
    <n v="0"/>
    <n v="0"/>
    <n v="0"/>
    <n v="0"/>
    <n v="0"/>
    <n v="1"/>
    <n v="0"/>
    <n v="1"/>
    <n v="0"/>
    <n v="12"/>
    <x v="1"/>
    <x v="23"/>
  </r>
  <r>
    <x v="1"/>
    <n v="125"/>
    <x v="0"/>
    <x v="2"/>
    <x v="0"/>
    <n v="3125"/>
    <n v="0"/>
    <n v="0"/>
    <n v="0"/>
    <n v="0"/>
    <n v="0"/>
    <n v="0"/>
    <n v="1"/>
    <n v="0.1079"/>
    <n v="0.8921"/>
    <n v="-0.1079"/>
    <n v="1"/>
    <x v="2"/>
    <x v="24"/>
  </r>
  <r>
    <x v="1"/>
    <n v="128"/>
    <x v="0"/>
    <x v="4"/>
    <x v="1"/>
    <n v="2816"/>
    <n v="0"/>
    <n v="0"/>
    <n v="0"/>
    <n v="0"/>
    <n v="0"/>
    <n v="0"/>
    <n v="1"/>
    <n v="0.12"/>
    <n v="0.88"/>
    <n v="-0.12"/>
    <n v="2"/>
    <x v="2"/>
    <x v="25"/>
  </r>
  <r>
    <x v="1"/>
    <n v="128"/>
    <x v="0"/>
    <x v="2"/>
    <x v="2"/>
    <n v="3200"/>
    <n v="0"/>
    <n v="0"/>
    <n v="0"/>
    <n v="0"/>
    <n v="0"/>
    <n v="0"/>
    <n v="1"/>
    <n v="0.1149"/>
    <n v="0.8851"/>
    <n v="-0.1149"/>
    <n v="3"/>
    <x v="2"/>
    <x v="26"/>
  </r>
  <r>
    <x v="1"/>
    <n v="131"/>
    <x v="0"/>
    <x v="2"/>
    <x v="3"/>
    <n v="3275"/>
    <n v="0"/>
    <n v="0"/>
    <n v="0"/>
    <n v="0"/>
    <n v="0"/>
    <n v="0"/>
    <n v="1"/>
    <n v="0.1366"/>
    <n v="0.86339999999999995"/>
    <n v="-0.1366"/>
    <n v="4"/>
    <x v="2"/>
    <x v="27"/>
  </r>
  <r>
    <x v="1"/>
    <n v="130"/>
    <x v="0"/>
    <x v="0"/>
    <x v="4"/>
    <n v="3380"/>
    <n v="0"/>
    <n v="0"/>
    <n v="0"/>
    <n v="18"/>
    <n v="18"/>
    <n v="5.3254437869822485E-3"/>
    <n v="0.9946745562130177"/>
    <n v="7.1599999999999997E-2"/>
    <n v="0.9284"/>
    <n v="-6.6274556213017755E-2"/>
    <n v="5"/>
    <x v="2"/>
    <x v="28"/>
  </r>
  <r>
    <x v="1"/>
    <n v="108"/>
    <x v="0"/>
    <x v="15"/>
    <x v="5"/>
    <n v="648"/>
    <n v="0"/>
    <n v="0"/>
    <n v="0"/>
    <n v="21"/>
    <n v="21"/>
    <n v="3.2407407407407406E-2"/>
    <n v="0.96759259259259256"/>
    <n v="0.1142"/>
    <n v="0.88580000000000003"/>
    <n v="-8.1792592592592583E-2"/>
    <n v="6"/>
    <x v="2"/>
    <x v="29"/>
  </r>
  <r>
    <x v="1"/>
    <n v="108"/>
    <x v="0"/>
    <x v="5"/>
    <x v="6"/>
    <n v="2484"/>
    <n v="0"/>
    <n v="0"/>
    <n v="24"/>
    <n v="0"/>
    <n v="24"/>
    <n v="9.6618357487922701E-3"/>
    <n v="0.99033816425120769"/>
    <n v="0.1002"/>
    <n v="0.89980000000000004"/>
    <n v="-9.0538164251207726E-2"/>
    <n v="7"/>
    <x v="2"/>
    <x v="30"/>
  </r>
  <r>
    <x v="1"/>
    <n v="107"/>
    <x v="0"/>
    <x v="4"/>
    <x v="7"/>
    <n v="2354"/>
    <n v="0"/>
    <n v="0"/>
    <n v="0"/>
    <n v="0"/>
    <n v="0"/>
    <n v="0"/>
    <n v="1"/>
    <n v="8.6900000000000005E-2"/>
    <n v="0.91310000000000002"/>
    <n v="-8.6900000000000005E-2"/>
    <n v="8"/>
    <x v="2"/>
    <x v="31"/>
  </r>
  <r>
    <x v="1"/>
    <n v="107"/>
    <x v="0"/>
    <x v="14"/>
    <x v="8"/>
    <n v="2140"/>
    <n v="0"/>
    <n v="0"/>
    <n v="0"/>
    <n v="0"/>
    <n v="0"/>
    <n v="0"/>
    <n v="1"/>
    <n v="7.4899999999999994E-2"/>
    <n v="0.92510000000000003"/>
    <n v="-7.4899999999999994E-2"/>
    <n v="9"/>
    <x v="2"/>
    <x v="32"/>
  </r>
  <r>
    <x v="1"/>
    <n v="123"/>
    <x v="0"/>
    <x v="14"/>
    <x v="9"/>
    <n v="2460"/>
    <n v="0"/>
    <n v="0"/>
    <n v="0"/>
    <n v="0"/>
    <n v="0"/>
    <n v="0"/>
    <n v="1"/>
    <n v="6.6299999999999998E-2"/>
    <n v="0.93369999999999997"/>
    <n v="-6.6299999999999998E-2"/>
    <n v="10"/>
    <x v="2"/>
    <x v="33"/>
  </r>
  <r>
    <x v="1"/>
    <n v="459"/>
    <x v="1"/>
    <x v="0"/>
    <x v="0"/>
    <n v="11934"/>
    <n v="378"/>
    <n v="98"/>
    <n v="245"/>
    <n v="68"/>
    <n v="789"/>
    <n v="6.611362493715435E-2"/>
    <n v="0.93388637506284566"/>
    <n v="0"/>
    <n v="1"/>
    <n v="6.611362493715435E-2"/>
    <n v="1"/>
    <x v="0"/>
    <x v="0"/>
  </r>
  <r>
    <x v="1"/>
    <n v="459"/>
    <x v="1"/>
    <x v="5"/>
    <x v="1"/>
    <n v="10557"/>
    <n v="274"/>
    <n v="171"/>
    <n v="184"/>
    <n v="148"/>
    <n v="777"/>
    <n v="7.3600454674623478E-2"/>
    <n v="0.92639954532537649"/>
    <n v="0"/>
    <n v="1"/>
    <n v="7.3600454674623478E-2"/>
    <n v="2"/>
    <x v="0"/>
    <x v="1"/>
  </r>
  <r>
    <x v="1"/>
    <n v="459"/>
    <x v="1"/>
    <x v="0"/>
    <x v="2"/>
    <n v="11934"/>
    <n v="336"/>
    <n v="149"/>
    <n v="202"/>
    <n v="166"/>
    <n v="853"/>
    <n v="7.1476453829395006E-2"/>
    <n v="0.92852354617060495"/>
    <n v="0"/>
    <n v="1"/>
    <n v="7.1476453829395006E-2"/>
    <n v="3"/>
    <x v="0"/>
    <x v="2"/>
  </r>
  <r>
    <x v="1"/>
    <n v="459"/>
    <x v="1"/>
    <x v="1"/>
    <x v="3"/>
    <n v="11016"/>
    <n v="424"/>
    <n v="140"/>
    <n v="217"/>
    <n v="97"/>
    <n v="878"/>
    <n v="7.9702251270878724E-2"/>
    <n v="0.92029774872912129"/>
    <n v="0"/>
    <n v="1"/>
    <n v="7.9702251270878724E-2"/>
    <n v="4"/>
    <x v="0"/>
    <x v="3"/>
  </r>
  <r>
    <x v="1"/>
    <n v="459"/>
    <x v="1"/>
    <x v="10"/>
    <x v="4"/>
    <n v="6885"/>
    <n v="166"/>
    <n v="61"/>
    <n v="77"/>
    <n v="42"/>
    <n v="346"/>
    <n v="5.0254175744371826E-2"/>
    <n v="0.94974582425562815"/>
    <n v="0"/>
    <n v="1"/>
    <n v="5.0254175744371826E-2"/>
    <n v="5"/>
    <x v="0"/>
    <x v="4"/>
  </r>
  <r>
    <x v="1"/>
    <n v="234"/>
    <x v="1"/>
    <x v="4"/>
    <x v="5"/>
    <n v="5148"/>
    <n v="213"/>
    <n v="348"/>
    <n v="194"/>
    <n v="66"/>
    <n v="821"/>
    <n v="0.15947940947940947"/>
    <n v="0.84052059052059058"/>
    <n v="0"/>
    <n v="1"/>
    <n v="0.15947940947940947"/>
    <n v="6"/>
    <x v="0"/>
    <x v="5"/>
  </r>
  <r>
    <x v="1"/>
    <n v="234"/>
    <x v="1"/>
    <x v="3"/>
    <x v="6"/>
    <n v="4914"/>
    <n v="149"/>
    <n v="292"/>
    <n v="184"/>
    <n v="65"/>
    <n v="690"/>
    <n v="0.14041514041514042"/>
    <n v="0.85958485958485964"/>
    <n v="0"/>
    <n v="1"/>
    <n v="0.14041514041514042"/>
    <n v="7"/>
    <x v="0"/>
    <x v="6"/>
  </r>
  <r>
    <x v="1"/>
    <n v="234"/>
    <x v="1"/>
    <x v="5"/>
    <x v="7"/>
    <n v="5382"/>
    <n v="249"/>
    <n v="242"/>
    <n v="195"/>
    <n v="83"/>
    <n v="769"/>
    <n v="0.14288368636194723"/>
    <n v="0.85711631363805274"/>
    <n v="0"/>
    <n v="1"/>
    <n v="0.14288368636194723"/>
    <n v="8"/>
    <x v="0"/>
    <x v="7"/>
  </r>
  <r>
    <x v="1"/>
    <n v="234"/>
    <x v="1"/>
    <x v="14"/>
    <x v="8"/>
    <n v="4680"/>
    <n v="142"/>
    <n v="211"/>
    <n v="191"/>
    <n v="112"/>
    <n v="656"/>
    <n v="0.14017094017094017"/>
    <n v="0.85982905982905988"/>
    <n v="0"/>
    <n v="1"/>
    <n v="0.14017094017094017"/>
    <n v="9"/>
    <x v="0"/>
    <x v="8"/>
  </r>
  <r>
    <x v="1"/>
    <n v="234"/>
    <x v="1"/>
    <x v="3"/>
    <x v="9"/>
    <n v="4914"/>
    <n v="121"/>
    <n v="134"/>
    <n v="120"/>
    <n v="117"/>
    <n v="492"/>
    <n v="0.10012210012210013"/>
    <n v="0.8998778998778999"/>
    <n v="0"/>
    <n v="1"/>
    <n v="0.10012210012210013"/>
    <n v="10"/>
    <x v="0"/>
    <x v="9"/>
  </r>
  <r>
    <x v="1"/>
    <n v="234"/>
    <x v="1"/>
    <x v="5"/>
    <x v="10"/>
    <n v="5382"/>
    <n v="109"/>
    <n v="252"/>
    <n v="110"/>
    <n v="105"/>
    <n v="576"/>
    <n v="0.10702341137123746"/>
    <n v="0.8929765886287625"/>
    <n v="0"/>
    <n v="1"/>
    <n v="0.10702341137123746"/>
    <n v="11"/>
    <x v="0"/>
    <x v="10"/>
  </r>
  <r>
    <x v="1"/>
    <n v="459"/>
    <x v="1"/>
    <x v="2"/>
    <x v="11"/>
    <n v="11475"/>
    <n v="400"/>
    <n v="174"/>
    <n v="164"/>
    <n v="130"/>
    <n v="868"/>
    <n v="7.5642701525054465E-2"/>
    <n v="0.92435729847494552"/>
    <n v="0"/>
    <n v="1"/>
    <n v="7.5642701525054465E-2"/>
    <n v="12"/>
    <x v="0"/>
    <x v="11"/>
  </r>
  <r>
    <x v="1"/>
    <n v="459"/>
    <x v="1"/>
    <x v="2"/>
    <x v="0"/>
    <n v="11475"/>
    <n v="491"/>
    <n v="283"/>
    <n v="120"/>
    <n v="132"/>
    <n v="1026"/>
    <n v="8.9411764705882357E-2"/>
    <n v="0.9105882352941177"/>
    <n v="0"/>
    <n v="1"/>
    <n v="8.9411764705882357E-2"/>
    <n v="1"/>
    <x v="1"/>
    <x v="12"/>
  </r>
  <r>
    <x v="1"/>
    <n v="459"/>
    <x v="1"/>
    <x v="1"/>
    <x v="1"/>
    <n v="11016"/>
    <n v="546"/>
    <n v="305"/>
    <n v="216"/>
    <n v="74"/>
    <n v="1141"/>
    <n v="0.1035766158315178"/>
    <n v="0.89642338416848222"/>
    <n v="0"/>
    <n v="1"/>
    <n v="0.1035766158315178"/>
    <n v="2"/>
    <x v="1"/>
    <x v="13"/>
  </r>
  <r>
    <x v="1"/>
    <n v="459"/>
    <x v="1"/>
    <x v="1"/>
    <x v="2"/>
    <n v="11016"/>
    <n v="716"/>
    <n v="136"/>
    <n v="242"/>
    <n v="74"/>
    <n v="1168"/>
    <n v="0.10602759622367465"/>
    <n v="0.89397240377632536"/>
    <n v="0"/>
    <n v="1"/>
    <n v="0.10602759622367465"/>
    <n v="3"/>
    <x v="1"/>
    <x v="14"/>
  </r>
  <r>
    <x v="1"/>
    <n v="459"/>
    <x v="1"/>
    <x v="0"/>
    <x v="3"/>
    <n v="11934"/>
    <n v="734"/>
    <n v="391"/>
    <n v="88"/>
    <n v="131"/>
    <n v="1344"/>
    <n v="0.1126194067370538"/>
    <n v="0.88738059326294616"/>
    <n v="0"/>
    <n v="1"/>
    <n v="0.1126194067370538"/>
    <n v="4"/>
    <x v="1"/>
    <x v="15"/>
  </r>
  <r>
    <x v="1"/>
    <n v="459"/>
    <x v="1"/>
    <x v="16"/>
    <x v="4"/>
    <n v="4590"/>
    <n v="502"/>
    <n v="147"/>
    <n v="212"/>
    <n v="129"/>
    <n v="990"/>
    <n v="0.21568627450980393"/>
    <n v="0.78431372549019607"/>
    <n v="0"/>
    <n v="1"/>
    <n v="0.21568627450980393"/>
    <n v="5"/>
    <x v="1"/>
    <x v="16"/>
  </r>
  <r>
    <x v="1"/>
    <n v="204"/>
    <x v="1"/>
    <x v="16"/>
    <x v="5"/>
    <n v="2040"/>
    <n v="27"/>
    <n v="12"/>
    <n v="155"/>
    <n v="76"/>
    <n v="270"/>
    <n v="0.13235294117647059"/>
    <n v="0.86764705882352944"/>
    <n v="0"/>
    <n v="1"/>
    <n v="0.13235294117647059"/>
    <n v="6"/>
    <x v="1"/>
    <x v="17"/>
  </r>
  <r>
    <x v="1"/>
    <n v="204"/>
    <x v="1"/>
    <x v="5"/>
    <x v="6"/>
    <n v="4692"/>
    <n v="82"/>
    <n v="147"/>
    <n v="226"/>
    <n v="90"/>
    <n v="545"/>
    <n v="0.11615515771526001"/>
    <n v="0.88384484228474003"/>
    <n v="0"/>
    <n v="1"/>
    <n v="0.11615515771526001"/>
    <n v="7"/>
    <x v="1"/>
    <x v="18"/>
  </r>
  <r>
    <x v="1"/>
    <n v="204"/>
    <x v="1"/>
    <x v="4"/>
    <x v="7"/>
    <n v="4488"/>
    <n v="253"/>
    <n v="76"/>
    <n v="85"/>
    <n v="38"/>
    <n v="452"/>
    <n v="0.10071301247771836"/>
    <n v="0.89928698752228164"/>
    <n v="0"/>
    <n v="1"/>
    <n v="0.10071301247771836"/>
    <n v="8"/>
    <x v="1"/>
    <x v="19"/>
  </r>
  <r>
    <x v="1"/>
    <n v="204"/>
    <x v="1"/>
    <x v="14"/>
    <x v="8"/>
    <n v="4080"/>
    <n v="138"/>
    <n v="14"/>
    <n v="136"/>
    <n v="66"/>
    <n v="354"/>
    <n v="8.6764705882352938E-2"/>
    <n v="0.91323529411764703"/>
    <n v="0"/>
    <n v="1"/>
    <n v="8.6764705882352938E-2"/>
    <n v="9"/>
    <x v="1"/>
    <x v="20"/>
  </r>
  <r>
    <x v="1"/>
    <n v="204"/>
    <x v="1"/>
    <x v="4"/>
    <x v="9"/>
    <n v="4488"/>
    <n v="128"/>
    <n v="15"/>
    <n v="118"/>
    <n v="84"/>
    <n v="345"/>
    <n v="7.6871657754010697E-2"/>
    <n v="0.92312834224598928"/>
    <n v="0"/>
    <n v="1"/>
    <n v="7.6871657754010697E-2"/>
    <n v="10"/>
    <x v="1"/>
    <x v="21"/>
  </r>
  <r>
    <x v="1"/>
    <n v="204"/>
    <x v="1"/>
    <x v="3"/>
    <x v="10"/>
    <n v="4284"/>
    <n v="130"/>
    <n v="27"/>
    <n v="137"/>
    <n v="111"/>
    <n v="405"/>
    <n v="9.4537815126050417E-2"/>
    <n v="0.90546218487394958"/>
    <n v="0"/>
    <n v="1"/>
    <n v="9.4537815126050417E-2"/>
    <n v="11"/>
    <x v="1"/>
    <x v="22"/>
  </r>
  <r>
    <x v="1"/>
    <n v="421"/>
    <x v="1"/>
    <x v="2"/>
    <x v="11"/>
    <n v="10525"/>
    <n v="383"/>
    <n v="138"/>
    <n v="292"/>
    <n v="192"/>
    <n v="1005"/>
    <n v="9.5486935866983369E-2"/>
    <n v="0.90451306413301658"/>
    <n v="0"/>
    <n v="1"/>
    <n v="9.5486935866983369E-2"/>
    <n v="12"/>
    <x v="1"/>
    <x v="23"/>
  </r>
  <r>
    <x v="1"/>
    <n v="421"/>
    <x v="1"/>
    <x v="1"/>
    <x v="0"/>
    <n v="10104"/>
    <n v="440"/>
    <n v="29"/>
    <n v="279"/>
    <n v="99"/>
    <n v="847"/>
    <n v="8.3828186856690426E-2"/>
    <n v="0.91617181314330953"/>
    <n v="0.1079"/>
    <n v="0.8921"/>
    <n v="-2.407181314330957E-2"/>
    <n v="1"/>
    <x v="2"/>
    <x v="24"/>
  </r>
  <r>
    <x v="1"/>
    <n v="421"/>
    <x v="1"/>
    <x v="4"/>
    <x v="1"/>
    <n v="9262"/>
    <n v="511"/>
    <n v="62"/>
    <n v="196"/>
    <n v="84"/>
    <n v="853"/>
    <n v="9.2096739365147923E-2"/>
    <n v="0.90790326063485205"/>
    <n v="0.12"/>
    <n v="0.88"/>
    <n v="-2.7903260634852073E-2"/>
    <n v="2"/>
    <x v="2"/>
    <x v="25"/>
  </r>
  <r>
    <x v="1"/>
    <n v="421"/>
    <x v="1"/>
    <x v="2"/>
    <x v="2"/>
    <n v="10525"/>
    <n v="600"/>
    <n v="68"/>
    <n v="167"/>
    <n v="84"/>
    <n v="919"/>
    <n v="8.7315914489311169E-2"/>
    <n v="0.9126840855106888"/>
    <n v="0.1149"/>
    <n v="0.8851"/>
    <n v="-2.7584085510688833E-2"/>
    <n v="3"/>
    <x v="2"/>
    <x v="26"/>
  </r>
  <r>
    <x v="1"/>
    <n v="421"/>
    <x v="1"/>
    <x v="2"/>
    <x v="3"/>
    <n v="10525"/>
    <n v="716"/>
    <n v="89"/>
    <n v="182"/>
    <n v="98"/>
    <n v="1085"/>
    <n v="0.10308788598574822"/>
    <n v="0.89691211401425175"/>
    <n v="0.1366"/>
    <n v="0.86339999999999995"/>
    <n v="-3.3512114014251776E-2"/>
    <n v="4"/>
    <x v="2"/>
    <x v="27"/>
  </r>
  <r>
    <x v="1"/>
    <n v="421"/>
    <x v="1"/>
    <x v="2"/>
    <x v="4"/>
    <n v="10525"/>
    <n v="286"/>
    <n v="320"/>
    <n v="114"/>
    <n v="26"/>
    <n v="746"/>
    <n v="7.0878859857482185E-2"/>
    <n v="0.92912114014251779"/>
    <n v="7.1599999999999997E-2"/>
    <n v="0.9284"/>
    <n v="-7.2114014251781211E-4"/>
    <n v="5"/>
    <x v="2"/>
    <x v="28"/>
  </r>
  <r>
    <x v="1"/>
    <n v="204"/>
    <x v="1"/>
    <x v="2"/>
    <x v="5"/>
    <n v="5100"/>
    <n v="53"/>
    <n v="275"/>
    <n v="24"/>
    <n v="9"/>
    <n v="361"/>
    <n v="7.0784313725490197E-2"/>
    <n v="0.92921568627450979"/>
    <n v="0.1142"/>
    <n v="0.88580000000000003"/>
    <n v="-4.3415686274509799E-2"/>
    <n v="6"/>
    <x v="2"/>
    <x v="29"/>
  </r>
  <r>
    <x v="1"/>
    <n v="204"/>
    <x v="1"/>
    <x v="5"/>
    <x v="6"/>
    <n v="4692"/>
    <n v="252"/>
    <n v="146"/>
    <n v="210"/>
    <n v="22"/>
    <n v="630"/>
    <n v="0.13427109974424553"/>
    <n v="0.86572890025575444"/>
    <n v="0.1002"/>
    <n v="0.89980000000000004"/>
    <n v="3.4071099744245534E-2"/>
    <n v="7"/>
    <x v="2"/>
    <x v="30"/>
  </r>
  <r>
    <x v="1"/>
    <n v="204"/>
    <x v="1"/>
    <x v="4"/>
    <x v="7"/>
    <n v="4488"/>
    <n v="244"/>
    <n v="70"/>
    <n v="134"/>
    <n v="5"/>
    <n v="453"/>
    <n v="0.10093582887700535"/>
    <n v="0.89906417112299464"/>
    <n v="8.6900000000000005E-2"/>
    <n v="0.91310000000000002"/>
    <n v="1.4035828877005344E-2"/>
    <n v="8"/>
    <x v="2"/>
    <x v="31"/>
  </r>
  <r>
    <x v="1"/>
    <n v="204"/>
    <x v="1"/>
    <x v="14"/>
    <x v="8"/>
    <n v="4080"/>
    <n v="223"/>
    <n v="21"/>
    <n v="120"/>
    <n v="9"/>
    <n v="373"/>
    <n v="9.1421568627450975E-2"/>
    <n v="0.90857843137254901"/>
    <n v="7.4899999999999994E-2"/>
    <n v="0.92510000000000003"/>
    <n v="1.652156862745098E-2"/>
    <n v="9"/>
    <x v="2"/>
    <x v="32"/>
  </r>
  <r>
    <x v="1"/>
    <n v="204"/>
    <x v="1"/>
    <x v="14"/>
    <x v="9"/>
    <n v="4080"/>
    <n v="27"/>
    <n v="12"/>
    <n v="155"/>
    <n v="76"/>
    <n v="270"/>
    <n v="6.6176470588235295E-2"/>
    <n v="0.93382352941176472"/>
    <n v="6.6299999999999998E-2"/>
    <n v="0.93369999999999997"/>
    <n v="-1.2352941176470289E-4"/>
    <n v="10"/>
    <x v="2"/>
    <x v="33"/>
  </r>
  <r>
    <x v="1"/>
    <n v="204"/>
    <x v="1"/>
    <x v="4"/>
    <x v="10"/>
    <n v="4488"/>
    <n v="157"/>
    <n v="83"/>
    <n v="72"/>
    <n v="32"/>
    <n v="344"/>
    <n v="7.6648841354723704E-2"/>
    <n v="0.92335115864527628"/>
    <n v="8.1600000000000006E-2"/>
    <n v="0.91839999999999999"/>
    <n v="-4.9511586452763018E-3"/>
    <n v="11"/>
    <x v="2"/>
    <x v="34"/>
  </r>
  <r>
    <x v="1"/>
    <n v="131"/>
    <x v="0"/>
    <x v="4"/>
    <x v="10"/>
    <n v="2882"/>
    <n v="0"/>
    <n v="0"/>
    <n v="24"/>
    <n v="0"/>
    <n v="24"/>
    <n v="8.3275503122831364E-3"/>
    <n v="0.99167244968771684"/>
    <n v="8.1600000000000006E-2"/>
    <n v="0.91839999999999999"/>
    <n v="-7.3272449687716873E-2"/>
    <n v="11"/>
    <x v="2"/>
    <x v="34"/>
  </r>
  <r>
    <x v="1"/>
    <n v="421"/>
    <x v="1"/>
    <x v="2"/>
    <x v="11"/>
    <n v="10525"/>
    <n v="323"/>
    <n v="252"/>
    <n v="161"/>
    <n v="43"/>
    <n v="779"/>
    <n v="7.4014251781472681E-2"/>
    <n v="0.9259857482185273"/>
    <n v="6.4899999999999999E-2"/>
    <n v="0.93510000000000004"/>
    <n v="9.114251781472682E-3"/>
    <n v="12"/>
    <x v="2"/>
    <x v="35"/>
  </r>
  <r>
    <x v="1"/>
    <n v="131"/>
    <x v="0"/>
    <x v="2"/>
    <x v="11"/>
    <n v="3275"/>
    <n v="0"/>
    <n v="0"/>
    <n v="28"/>
    <n v="0"/>
    <n v="28"/>
    <n v="8.5496183206106875E-3"/>
    <n v="0.99145038167938926"/>
    <n v="6.4899999999999999E-2"/>
    <n v="0.93510000000000004"/>
    <n v="-5.6350381679389314E-2"/>
    <n v="12"/>
    <x v="2"/>
    <x v="35"/>
  </r>
  <r>
    <x v="1"/>
    <n v="421"/>
    <x v="1"/>
    <x v="2"/>
    <x v="0"/>
    <n v="10525"/>
    <n v="359"/>
    <n v="195"/>
    <n v="146"/>
    <n v="44"/>
    <n v="744"/>
    <n v="7.068883610451307E-2"/>
    <n v="0.92931116389548696"/>
    <n v="7.6499999999999999E-2"/>
    <n v="0.92349999999999999"/>
    <n v="-5.8111638954869288E-3"/>
    <n v="1"/>
    <x v="3"/>
    <x v="36"/>
  </r>
  <r>
    <x v="1"/>
    <n v="129"/>
    <x v="0"/>
    <x v="2"/>
    <x v="0"/>
    <n v="3225"/>
    <n v="0"/>
    <n v="0"/>
    <n v="0"/>
    <n v="0"/>
    <n v="0"/>
    <n v="0"/>
    <n v="1"/>
    <n v="7.6499999999999999E-2"/>
    <n v="0.92349999999999999"/>
    <n v="-7.6499999999999999E-2"/>
    <n v="1"/>
    <x v="3"/>
    <x v="36"/>
  </r>
  <r>
    <x v="1"/>
    <n v="421"/>
    <x v="1"/>
    <x v="5"/>
    <x v="1"/>
    <n v="9683"/>
    <n v="497"/>
    <n v="142"/>
    <n v="147"/>
    <n v="37"/>
    <n v="823"/>
    <n v="8.4994319942166691E-2"/>
    <n v="0.91500568005783334"/>
    <n v="8.4099999999999994E-2"/>
    <n v="0.91590000000000005"/>
    <n v="8.9431994216669641E-4"/>
    <n v="2"/>
    <x v="3"/>
    <x v="37"/>
  </r>
  <r>
    <x v="1"/>
    <n v="130"/>
    <x v="0"/>
    <x v="5"/>
    <x v="1"/>
    <n v="2990"/>
    <n v="0"/>
    <n v="0"/>
    <n v="23"/>
    <n v="0"/>
    <n v="23"/>
    <n v="7.6923076923076927E-3"/>
    <n v="0.99230769230769234"/>
    <n v="8.4099999999999994E-2"/>
    <n v="0.91590000000000005"/>
    <n v="-7.6407692307692301E-2"/>
    <n v="2"/>
    <x v="3"/>
    <x v="37"/>
  </r>
  <r>
    <x v="1"/>
    <n v="421"/>
    <x v="1"/>
    <x v="2"/>
    <x v="2"/>
    <n v="10525"/>
    <n v="472"/>
    <n v="160"/>
    <n v="126"/>
    <n v="82"/>
    <n v="840"/>
    <n v="7.9809976247030873E-2"/>
    <n v="0.9201900237529691"/>
    <n v="7.9699999999999993E-2"/>
    <n v="0.92030000000000001"/>
    <n v="1.099762470308796E-4"/>
    <n v="3"/>
    <x v="3"/>
    <x v="38"/>
  </r>
  <r>
    <x v="1"/>
    <n v="133"/>
    <x v="0"/>
    <x v="2"/>
    <x v="2"/>
    <n v="3325"/>
    <n v="0"/>
    <n v="0"/>
    <n v="0"/>
    <n v="0"/>
    <n v="0"/>
    <n v="0"/>
    <n v="1"/>
    <n v="7.9699999999999993E-2"/>
    <n v="0.92030000000000001"/>
    <n v="-7.9699999999999993E-2"/>
    <n v="3"/>
    <x v="3"/>
    <x v="38"/>
  </r>
  <r>
    <x v="1"/>
    <n v="421"/>
    <x v="1"/>
    <x v="0"/>
    <x v="3"/>
    <n v="10946"/>
    <n v="299"/>
    <n v="190"/>
    <n v="141"/>
    <n v="151"/>
    <n v="781"/>
    <n v="7.1350264936963267E-2"/>
    <n v="0.92864973506303672"/>
    <n v="9.4100000000000003E-2"/>
    <n v="0.90590000000000004"/>
    <n v="-2.2749735063036736E-2"/>
    <n v="4"/>
    <x v="3"/>
    <x v="39"/>
  </r>
  <r>
    <x v="1"/>
    <n v="135"/>
    <x v="0"/>
    <x v="0"/>
    <x v="3"/>
    <n v="3510"/>
    <n v="0"/>
    <n v="0"/>
    <n v="0"/>
    <n v="0"/>
    <n v="0"/>
    <n v="0"/>
    <n v="1"/>
    <n v="9.4100000000000003E-2"/>
    <n v="0.90590000000000004"/>
    <n v="-9.4100000000000003E-2"/>
    <n v="4"/>
    <x v="3"/>
    <x v="39"/>
  </r>
  <r>
    <x v="1"/>
    <m/>
    <x v="1"/>
    <x v="13"/>
    <x v="4"/>
    <m/>
    <m/>
    <m/>
    <m/>
    <m/>
    <m/>
    <m/>
    <m/>
    <n v="6.4699999999999994E-2"/>
    <n v="0.93530000000000002"/>
    <m/>
    <n v="5"/>
    <x v="3"/>
    <x v="40"/>
  </r>
  <r>
    <x v="1"/>
    <m/>
    <x v="0"/>
    <x v="13"/>
    <x v="4"/>
    <m/>
    <m/>
    <m/>
    <m/>
    <m/>
    <m/>
    <m/>
    <m/>
    <n v="6.4699999999999994E-2"/>
    <n v="0.93530000000000002"/>
    <m/>
    <n v="5"/>
    <x v="3"/>
    <x v="40"/>
  </r>
  <r>
    <x v="1"/>
    <m/>
    <x v="1"/>
    <x v="13"/>
    <x v="5"/>
    <m/>
    <m/>
    <m/>
    <m/>
    <m/>
    <m/>
    <m/>
    <m/>
    <n v="6.4600000000000005E-2"/>
    <n v="0.93540000000000001"/>
    <m/>
    <n v="6"/>
    <x v="3"/>
    <x v="41"/>
  </r>
  <r>
    <x v="1"/>
    <m/>
    <x v="0"/>
    <x v="13"/>
    <x v="5"/>
    <m/>
    <m/>
    <m/>
    <m/>
    <m/>
    <m/>
    <m/>
    <m/>
    <n v="6.4600000000000005E-2"/>
    <n v="0.93540000000000001"/>
    <m/>
    <n v="6"/>
    <x v="3"/>
    <x v="41"/>
  </r>
  <r>
    <x v="1"/>
    <m/>
    <x v="1"/>
    <x v="13"/>
    <x v="6"/>
    <m/>
    <m/>
    <m/>
    <m/>
    <m/>
    <m/>
    <m/>
    <m/>
    <n v="0.1226"/>
    <n v="0.87739999999999996"/>
    <m/>
    <n v="7"/>
    <x v="3"/>
    <x v="42"/>
  </r>
  <r>
    <x v="1"/>
    <m/>
    <x v="0"/>
    <x v="13"/>
    <x v="6"/>
    <m/>
    <m/>
    <m/>
    <m/>
    <m/>
    <m/>
    <m/>
    <m/>
    <n v="0.1226"/>
    <n v="0.87739999999999996"/>
    <m/>
    <n v="7"/>
    <x v="3"/>
    <x v="42"/>
  </r>
  <r>
    <x v="1"/>
    <m/>
    <x v="1"/>
    <x v="13"/>
    <x v="7"/>
    <m/>
    <m/>
    <m/>
    <m/>
    <m/>
    <m/>
    <m/>
    <m/>
    <n v="9.2200000000000004E-2"/>
    <n v="0.90779999999999994"/>
    <m/>
    <n v="8"/>
    <x v="3"/>
    <x v="43"/>
  </r>
  <r>
    <x v="1"/>
    <m/>
    <x v="0"/>
    <x v="13"/>
    <x v="7"/>
    <m/>
    <m/>
    <m/>
    <m/>
    <m/>
    <m/>
    <m/>
    <m/>
    <n v="9.2200000000000004E-2"/>
    <n v="0.90779999999999994"/>
    <m/>
    <n v="8"/>
    <x v="3"/>
    <x v="43"/>
  </r>
  <r>
    <x v="1"/>
    <m/>
    <x v="1"/>
    <x v="13"/>
    <x v="8"/>
    <m/>
    <m/>
    <m/>
    <m/>
    <m/>
    <m/>
    <m/>
    <m/>
    <n v="8.3500000000000005E-2"/>
    <n v="0.91649999999999998"/>
    <m/>
    <n v="9"/>
    <x v="3"/>
    <x v="44"/>
  </r>
  <r>
    <x v="1"/>
    <m/>
    <x v="0"/>
    <x v="13"/>
    <x v="8"/>
    <m/>
    <m/>
    <m/>
    <m/>
    <m/>
    <m/>
    <m/>
    <m/>
    <n v="8.3500000000000005E-2"/>
    <n v="0.91649999999999998"/>
    <m/>
    <n v="9"/>
    <x v="3"/>
    <x v="44"/>
  </r>
  <r>
    <x v="1"/>
    <m/>
    <x v="1"/>
    <x v="13"/>
    <x v="9"/>
    <m/>
    <m/>
    <m/>
    <m/>
    <m/>
    <m/>
    <m/>
    <m/>
    <n v="6.0400000000000002E-2"/>
    <n v="0.93959999999999999"/>
    <m/>
    <n v="10"/>
    <x v="3"/>
    <x v="45"/>
  </r>
  <r>
    <x v="1"/>
    <m/>
    <x v="0"/>
    <x v="13"/>
    <x v="9"/>
    <m/>
    <m/>
    <m/>
    <m/>
    <m/>
    <m/>
    <m/>
    <m/>
    <n v="6.0400000000000002E-2"/>
    <n v="0.93959999999999999"/>
    <m/>
    <n v="10"/>
    <x v="3"/>
    <x v="45"/>
  </r>
  <r>
    <x v="1"/>
    <m/>
    <x v="1"/>
    <x v="13"/>
    <x v="10"/>
    <m/>
    <m/>
    <m/>
    <m/>
    <m/>
    <m/>
    <m/>
    <m/>
    <n v="6.9900000000000004E-2"/>
    <n v="0.93010000000000004"/>
    <m/>
    <n v="11"/>
    <x v="3"/>
    <x v="46"/>
  </r>
  <r>
    <x v="1"/>
    <m/>
    <x v="0"/>
    <x v="13"/>
    <x v="10"/>
    <m/>
    <m/>
    <m/>
    <m/>
    <m/>
    <m/>
    <m/>
    <m/>
    <n v="6.9900000000000004E-2"/>
    <n v="0.93010000000000004"/>
    <m/>
    <n v="11"/>
    <x v="3"/>
    <x v="46"/>
  </r>
  <r>
    <x v="1"/>
    <m/>
    <x v="1"/>
    <x v="13"/>
    <x v="11"/>
    <m/>
    <m/>
    <m/>
    <m/>
    <m/>
    <m/>
    <m/>
    <m/>
    <n v="6.7599999999999993E-2"/>
    <n v="0.93240000000000001"/>
    <m/>
    <n v="12"/>
    <x v="3"/>
    <x v="47"/>
  </r>
  <r>
    <x v="1"/>
    <m/>
    <x v="0"/>
    <x v="13"/>
    <x v="11"/>
    <m/>
    <m/>
    <m/>
    <m/>
    <m/>
    <m/>
    <m/>
    <m/>
    <n v="6.7599999999999993E-2"/>
    <n v="0.93240000000000001"/>
    <m/>
    <n v="12"/>
    <x v="3"/>
    <x v="47"/>
  </r>
  <r>
    <x v="2"/>
    <n v="142"/>
    <x v="0"/>
    <x v="0"/>
    <x v="0"/>
    <n v="3692"/>
    <n v="0"/>
    <n v="0"/>
    <n v="8"/>
    <n v="21"/>
    <n v="29"/>
    <n v="7.8548212351029247E-3"/>
    <n v="0.99214517876489705"/>
    <n v="0"/>
    <n v="1"/>
    <n v="7.8548212351029247E-3"/>
    <n v="1"/>
    <x v="0"/>
    <x v="0"/>
  </r>
  <r>
    <x v="2"/>
    <n v="143"/>
    <x v="0"/>
    <x v="5"/>
    <x v="1"/>
    <n v="3289"/>
    <n v="0"/>
    <n v="0"/>
    <n v="8"/>
    <n v="0"/>
    <n v="8"/>
    <n v="2.432350258437215E-3"/>
    <n v="0.99756764974156276"/>
    <n v="0"/>
    <n v="1"/>
    <n v="2.432350258437215E-3"/>
    <n v="2"/>
    <x v="0"/>
    <x v="1"/>
  </r>
  <r>
    <x v="2"/>
    <n v="144"/>
    <x v="0"/>
    <x v="0"/>
    <x v="2"/>
    <n v="3744"/>
    <n v="0"/>
    <n v="0"/>
    <n v="0"/>
    <n v="0"/>
    <n v="0"/>
    <n v="0"/>
    <n v="1"/>
    <n v="0"/>
    <n v="1"/>
    <n v="0"/>
    <n v="3"/>
    <x v="0"/>
    <x v="2"/>
  </r>
  <r>
    <x v="2"/>
    <n v="143"/>
    <x v="0"/>
    <x v="1"/>
    <x v="3"/>
    <n v="3432"/>
    <n v="0"/>
    <n v="0"/>
    <n v="28"/>
    <n v="7"/>
    <n v="35"/>
    <n v="1.0198135198135198E-2"/>
    <n v="0.98980186480186483"/>
    <n v="0"/>
    <n v="1"/>
    <n v="1.0198135198135198E-2"/>
    <n v="4"/>
    <x v="0"/>
    <x v="3"/>
  </r>
  <r>
    <x v="2"/>
    <n v="143"/>
    <x v="0"/>
    <x v="0"/>
    <x v="4"/>
    <n v="3718"/>
    <n v="0"/>
    <n v="0"/>
    <n v="48"/>
    <n v="0"/>
    <n v="48"/>
    <n v="1.2910166756320602E-2"/>
    <n v="0.98708983324367938"/>
    <n v="0"/>
    <n v="1"/>
    <n v="1.2910166756320602E-2"/>
    <n v="5"/>
    <x v="0"/>
    <x v="4"/>
  </r>
  <r>
    <x v="2"/>
    <n v="110"/>
    <x v="0"/>
    <x v="7"/>
    <x v="5"/>
    <n v="550"/>
    <n v="0"/>
    <n v="0"/>
    <n v="90"/>
    <n v="0"/>
    <n v="90"/>
    <n v="0.16363636363636364"/>
    <n v="0.83636363636363642"/>
    <n v="0"/>
    <n v="1"/>
    <n v="0.16363636363636364"/>
    <n v="6"/>
    <x v="0"/>
    <x v="5"/>
  </r>
  <r>
    <x v="2"/>
    <n v="113"/>
    <x v="0"/>
    <x v="3"/>
    <x v="6"/>
    <n v="2373"/>
    <n v="0"/>
    <n v="0"/>
    <n v="51"/>
    <n v="0"/>
    <n v="51"/>
    <n v="2.1491782553729456E-2"/>
    <n v="0.97850821744627059"/>
    <n v="0"/>
    <n v="1"/>
    <n v="2.1491782553729456E-2"/>
    <n v="7"/>
    <x v="0"/>
    <x v="6"/>
  </r>
  <r>
    <x v="2"/>
    <n v="113"/>
    <x v="0"/>
    <x v="5"/>
    <x v="7"/>
    <n v="2599"/>
    <n v="0"/>
    <n v="0"/>
    <n v="52"/>
    <n v="0"/>
    <n v="52"/>
    <n v="2.0007695267410544E-2"/>
    <n v="0.97999230473258947"/>
    <n v="0"/>
    <n v="1"/>
    <n v="2.0007695267410544E-2"/>
    <n v="8"/>
    <x v="0"/>
    <x v="7"/>
  </r>
  <r>
    <x v="2"/>
    <n v="113"/>
    <x v="0"/>
    <x v="14"/>
    <x v="8"/>
    <n v="2260"/>
    <n v="0"/>
    <n v="0"/>
    <n v="30"/>
    <n v="0"/>
    <n v="30"/>
    <n v="1.3274336283185841E-2"/>
    <n v="0.98672566371681414"/>
    <n v="0"/>
    <n v="1"/>
    <n v="1.3274336283185841E-2"/>
    <n v="9"/>
    <x v="0"/>
    <x v="8"/>
  </r>
  <r>
    <x v="2"/>
    <n v="120"/>
    <x v="0"/>
    <x v="3"/>
    <x v="9"/>
    <n v="2520"/>
    <n v="0"/>
    <n v="0"/>
    <n v="31"/>
    <n v="0"/>
    <n v="31"/>
    <n v="1.2301587301587301E-2"/>
    <n v="0.98769841269841274"/>
    <n v="0"/>
    <n v="1"/>
    <n v="1.2301587301587301E-2"/>
    <n v="10"/>
    <x v="0"/>
    <x v="9"/>
  </r>
  <r>
    <x v="2"/>
    <n v="126"/>
    <x v="0"/>
    <x v="3"/>
    <x v="10"/>
    <n v="2646"/>
    <n v="0"/>
    <n v="0"/>
    <n v="23"/>
    <n v="0"/>
    <n v="23"/>
    <n v="8.6923658352229781E-3"/>
    <n v="0.99130763416477707"/>
    <n v="0"/>
    <n v="1"/>
    <n v="8.6923658352229781E-3"/>
    <n v="11"/>
    <x v="0"/>
    <x v="10"/>
  </r>
  <r>
    <x v="2"/>
    <n v="138"/>
    <x v="0"/>
    <x v="2"/>
    <x v="11"/>
    <n v="3450"/>
    <n v="0"/>
    <n v="0"/>
    <n v="11"/>
    <n v="0"/>
    <n v="11"/>
    <n v="3.1884057971014491E-3"/>
    <n v="0.99681159420289855"/>
    <n v="0"/>
    <n v="1"/>
    <n v="3.1884057971014491E-3"/>
    <n v="12"/>
    <x v="0"/>
    <x v="11"/>
  </r>
  <r>
    <x v="2"/>
    <n v="156"/>
    <x v="0"/>
    <x v="2"/>
    <x v="0"/>
    <n v="3900"/>
    <n v="0"/>
    <n v="0"/>
    <n v="0"/>
    <n v="0"/>
    <n v="0"/>
    <n v="0"/>
    <n v="1"/>
    <n v="0"/>
    <n v="1"/>
    <n v="0"/>
    <n v="1"/>
    <x v="1"/>
    <x v="12"/>
  </r>
  <r>
    <x v="2"/>
    <n v="156"/>
    <x v="0"/>
    <x v="1"/>
    <x v="1"/>
    <n v="3744"/>
    <n v="0"/>
    <n v="0"/>
    <n v="9"/>
    <n v="0"/>
    <n v="9"/>
    <n v="2.403846153846154E-3"/>
    <n v="0.99759615384615385"/>
    <n v="0"/>
    <n v="1"/>
    <n v="2.403846153846154E-3"/>
    <n v="2"/>
    <x v="1"/>
    <x v="13"/>
  </r>
  <r>
    <x v="2"/>
    <n v="162"/>
    <x v="0"/>
    <x v="1"/>
    <x v="2"/>
    <n v="3888"/>
    <n v="0"/>
    <n v="0"/>
    <n v="0"/>
    <n v="0"/>
    <n v="0"/>
    <n v="0"/>
    <n v="1"/>
    <n v="0"/>
    <n v="1"/>
    <n v="0"/>
    <n v="3"/>
    <x v="1"/>
    <x v="14"/>
  </r>
  <r>
    <x v="2"/>
    <n v="165"/>
    <x v="0"/>
    <x v="0"/>
    <x v="3"/>
    <n v="4290"/>
    <n v="0"/>
    <n v="0"/>
    <n v="0"/>
    <n v="0"/>
    <n v="0"/>
    <n v="0"/>
    <n v="1"/>
    <n v="0"/>
    <n v="1"/>
    <n v="0"/>
    <n v="4"/>
    <x v="1"/>
    <x v="15"/>
  </r>
  <r>
    <x v="2"/>
    <n v="168"/>
    <x v="0"/>
    <x v="0"/>
    <x v="4"/>
    <n v="4368"/>
    <n v="0"/>
    <n v="0"/>
    <n v="5"/>
    <n v="0"/>
    <n v="5"/>
    <n v="1.1446886446886447E-3"/>
    <n v="0.99885531135531136"/>
    <n v="0"/>
    <n v="1"/>
    <n v="1.1446886446886447E-3"/>
    <n v="5"/>
    <x v="1"/>
    <x v="16"/>
  </r>
  <r>
    <x v="2"/>
    <n v="140"/>
    <x v="0"/>
    <x v="17"/>
    <x v="5"/>
    <n v="560"/>
    <n v="0"/>
    <n v="0"/>
    <n v="0"/>
    <n v="0"/>
    <n v="0"/>
    <n v="0"/>
    <n v="1"/>
    <n v="0"/>
    <n v="1"/>
    <n v="0"/>
    <n v="6"/>
    <x v="1"/>
    <x v="17"/>
  </r>
  <r>
    <x v="2"/>
    <n v="143"/>
    <x v="0"/>
    <x v="4"/>
    <x v="6"/>
    <n v="3146"/>
    <n v="0"/>
    <n v="0"/>
    <n v="24"/>
    <n v="62"/>
    <n v="86"/>
    <n v="2.733630006357279E-2"/>
    <n v="0.97266369993642721"/>
    <n v="0"/>
    <n v="1"/>
    <n v="2.733630006357279E-2"/>
    <n v="7"/>
    <x v="1"/>
    <x v="18"/>
  </r>
  <r>
    <x v="2"/>
    <n v="139"/>
    <x v="0"/>
    <x v="4"/>
    <x v="7"/>
    <n v="3058"/>
    <n v="0"/>
    <n v="0"/>
    <n v="4"/>
    <n v="62"/>
    <n v="66"/>
    <n v="2.1582733812949641E-2"/>
    <n v="0.97841726618705038"/>
    <n v="0"/>
    <n v="1"/>
    <n v="2.1582733812949641E-2"/>
    <n v="8"/>
    <x v="1"/>
    <x v="19"/>
  </r>
  <r>
    <x v="2"/>
    <n v="137"/>
    <x v="0"/>
    <x v="11"/>
    <x v="8"/>
    <n v="2603"/>
    <n v="0"/>
    <n v="0"/>
    <n v="0"/>
    <n v="0"/>
    <n v="0"/>
    <n v="0"/>
    <n v="1"/>
    <n v="0"/>
    <n v="1"/>
    <n v="0"/>
    <n v="9"/>
    <x v="1"/>
    <x v="20"/>
  </r>
  <r>
    <x v="2"/>
    <n v="145"/>
    <x v="0"/>
    <x v="5"/>
    <x v="9"/>
    <n v="3335"/>
    <n v="0"/>
    <n v="0"/>
    <n v="0"/>
    <n v="0"/>
    <n v="0"/>
    <n v="0"/>
    <n v="1"/>
    <n v="0"/>
    <n v="1"/>
    <n v="0"/>
    <n v="10"/>
    <x v="1"/>
    <x v="21"/>
  </r>
  <r>
    <x v="2"/>
    <n v="159"/>
    <x v="0"/>
    <x v="14"/>
    <x v="10"/>
    <n v="3180"/>
    <n v="0"/>
    <n v="0"/>
    <n v="0"/>
    <n v="0"/>
    <n v="0"/>
    <n v="0"/>
    <n v="1"/>
    <n v="0"/>
    <n v="1"/>
    <n v="0"/>
    <n v="11"/>
    <x v="1"/>
    <x v="22"/>
  </r>
  <r>
    <x v="2"/>
    <n v="152"/>
    <x v="0"/>
    <x v="2"/>
    <x v="11"/>
    <n v="3800"/>
    <n v="0"/>
    <n v="0"/>
    <n v="0"/>
    <n v="0"/>
    <n v="0"/>
    <n v="0"/>
    <n v="1"/>
    <n v="0"/>
    <n v="1"/>
    <n v="0"/>
    <n v="12"/>
    <x v="1"/>
    <x v="23"/>
  </r>
  <r>
    <x v="2"/>
    <n v="152"/>
    <x v="0"/>
    <x v="2"/>
    <x v="0"/>
    <n v="3800"/>
    <n v="0"/>
    <n v="0"/>
    <n v="19"/>
    <n v="0"/>
    <n v="19"/>
    <n v="5.0000000000000001E-3"/>
    <n v="0.995"/>
    <n v="7.5700000000000003E-2"/>
    <n v="0.92430000000000001"/>
    <n v="-7.0699999999999999E-2"/>
    <n v="1"/>
    <x v="2"/>
    <x v="24"/>
  </r>
  <r>
    <x v="2"/>
    <n v="152"/>
    <x v="0"/>
    <x v="1"/>
    <x v="1"/>
    <n v="3648"/>
    <n v="0"/>
    <n v="0"/>
    <n v="49"/>
    <n v="0"/>
    <n v="49"/>
    <n v="1.3432017543859649E-2"/>
    <n v="0.9865679824561403"/>
    <n v="7.7200000000000005E-2"/>
    <n v="0.92279999999999995"/>
    <n v="-6.3767982456140349E-2"/>
    <n v="2"/>
    <x v="2"/>
    <x v="25"/>
  </r>
  <r>
    <x v="2"/>
    <n v="152"/>
    <x v="0"/>
    <x v="5"/>
    <x v="2"/>
    <n v="3496"/>
    <n v="0"/>
    <n v="0"/>
    <n v="0"/>
    <n v="0"/>
    <n v="0"/>
    <n v="0"/>
    <n v="1"/>
    <n v="8.3099999999999993E-2"/>
    <n v="0.91690000000000005"/>
    <n v="-8.3099999999999993E-2"/>
    <n v="3"/>
    <x v="2"/>
    <x v="26"/>
  </r>
  <r>
    <x v="2"/>
    <n v="151"/>
    <x v="0"/>
    <x v="2"/>
    <x v="3"/>
    <n v="3775"/>
    <n v="0"/>
    <n v="0"/>
    <n v="62"/>
    <n v="0"/>
    <n v="62"/>
    <n v="1.6423841059602651E-2"/>
    <n v="0.98357615894039729"/>
    <n v="9.5899999999999999E-2"/>
    <n v="0.90410000000000001"/>
    <n v="-7.9476158940397348E-2"/>
    <n v="4"/>
    <x v="2"/>
    <x v="27"/>
  </r>
  <r>
    <x v="2"/>
    <n v="154"/>
    <x v="0"/>
    <x v="0"/>
    <x v="4"/>
    <n v="4004"/>
    <n v="0"/>
    <n v="0"/>
    <n v="47"/>
    <n v="0"/>
    <n v="47"/>
    <n v="1.1738261738261738E-2"/>
    <n v="0.98826173826173824"/>
    <n v="0.1386"/>
    <n v="0.86139999999999994"/>
    <n v="-0.12686173826173827"/>
    <n v="5"/>
    <x v="2"/>
    <x v="28"/>
  </r>
  <r>
    <x v="2"/>
    <n v="157"/>
    <x v="0"/>
    <x v="18"/>
    <x v="5"/>
    <n v="2512"/>
    <n v="0"/>
    <n v="0"/>
    <n v="56"/>
    <n v="0"/>
    <n v="56"/>
    <n v="2.2292993630573247E-2"/>
    <n v="0.97770700636942676"/>
    <n v="0.1598"/>
    <n v="0.84020000000000006"/>
    <n v="-0.13750700636942675"/>
    <n v="6"/>
    <x v="2"/>
    <x v="29"/>
  </r>
  <r>
    <x v="2"/>
    <n v="135"/>
    <x v="0"/>
    <x v="19"/>
    <x v="6"/>
    <n v="1620"/>
    <n v="0"/>
    <n v="0"/>
    <n v="70"/>
    <n v="0"/>
    <n v="70"/>
    <n v="4.3209876543209874E-2"/>
    <n v="0.95679012345679015"/>
    <n v="9.7299999999999998E-2"/>
    <n v="0.90270000000000006"/>
    <n v="-5.4090123456790123E-2"/>
    <n v="7"/>
    <x v="2"/>
    <x v="30"/>
  </r>
  <r>
    <x v="2"/>
    <n v="135"/>
    <x v="0"/>
    <x v="3"/>
    <x v="7"/>
    <n v="2835"/>
    <n v="0"/>
    <n v="0"/>
    <n v="28"/>
    <n v="28"/>
    <n v="56"/>
    <n v="1.9753086419753086E-2"/>
    <n v="0.98024691358024696"/>
    <n v="0.11020000000000001"/>
    <n v="0.88980000000000004"/>
    <n v="-9.0446913580246924E-2"/>
    <n v="8"/>
    <x v="2"/>
    <x v="31"/>
  </r>
  <r>
    <x v="2"/>
    <n v="134"/>
    <x v="0"/>
    <x v="14"/>
    <x v="8"/>
    <n v="2680"/>
    <n v="0"/>
    <n v="0"/>
    <n v="35"/>
    <n v="0"/>
    <n v="35"/>
    <n v="1.3059701492537313E-2"/>
    <n v="0.98694029850746268"/>
    <n v="0.1157"/>
    <n v="0.88429999999999997"/>
    <n v="-0.10264029850746269"/>
    <n v="9"/>
    <x v="2"/>
    <x v="32"/>
  </r>
  <r>
    <x v="2"/>
    <n v="138"/>
    <x v="0"/>
    <x v="5"/>
    <x v="9"/>
    <n v="3174"/>
    <n v="0"/>
    <n v="0"/>
    <n v="35"/>
    <n v="0"/>
    <n v="35"/>
    <n v="1.1027095148078135E-2"/>
    <n v="0.98897290485192191"/>
    <n v="0.1143"/>
    <n v="0.88570000000000004"/>
    <n v="-0.10327290485192187"/>
    <n v="10"/>
    <x v="2"/>
    <x v="33"/>
  </r>
  <r>
    <x v="2"/>
    <n v="484"/>
    <x v="1"/>
    <x v="0"/>
    <x v="0"/>
    <n v="12584"/>
    <n v="1729"/>
    <n v="0"/>
    <n v="82"/>
    <n v="114"/>
    <n v="1925"/>
    <n v="0.15297202797202797"/>
    <n v="0.84702797202797209"/>
    <n v="0"/>
    <n v="1"/>
    <n v="0.15297202797202797"/>
    <n v="1"/>
    <x v="0"/>
    <x v="0"/>
  </r>
  <r>
    <x v="2"/>
    <n v="484"/>
    <x v="1"/>
    <x v="5"/>
    <x v="1"/>
    <n v="11132"/>
    <n v="1418"/>
    <n v="0"/>
    <n v="127"/>
    <n v="66"/>
    <n v="1611"/>
    <n v="0.14471793029105282"/>
    <n v="0.85528206970894716"/>
    <n v="0"/>
    <n v="1"/>
    <n v="0.14471793029105282"/>
    <n v="2"/>
    <x v="0"/>
    <x v="1"/>
  </r>
  <r>
    <x v="2"/>
    <n v="484"/>
    <x v="1"/>
    <x v="0"/>
    <x v="2"/>
    <n v="12584"/>
    <n v="1530"/>
    <n v="0"/>
    <n v="113"/>
    <n v="95"/>
    <n v="1738"/>
    <n v="0.1381118881118881"/>
    <n v="0.86188811188811187"/>
    <n v="0"/>
    <n v="1"/>
    <n v="0.1381118881118881"/>
    <n v="3"/>
    <x v="0"/>
    <x v="2"/>
  </r>
  <r>
    <x v="2"/>
    <n v="484"/>
    <x v="1"/>
    <x v="1"/>
    <x v="3"/>
    <n v="11616"/>
    <n v="1783"/>
    <n v="0"/>
    <n v="30"/>
    <n v="1"/>
    <n v="1814"/>
    <n v="0.15616391184573003"/>
    <n v="0.84383608815426991"/>
    <n v="0"/>
    <n v="1"/>
    <n v="0.15616391184573003"/>
    <n v="4"/>
    <x v="0"/>
    <x v="3"/>
  </r>
  <r>
    <x v="2"/>
    <n v="484"/>
    <x v="1"/>
    <x v="0"/>
    <x v="4"/>
    <n v="12584"/>
    <n v="2452"/>
    <n v="0"/>
    <n v="121"/>
    <n v="64"/>
    <n v="2637"/>
    <n v="0.20955181182453911"/>
    <n v="0.79044818817546092"/>
    <n v="0"/>
    <n v="1"/>
    <n v="0.20955181182453911"/>
    <n v="5"/>
    <x v="0"/>
    <x v="4"/>
  </r>
  <r>
    <x v="2"/>
    <n v="311"/>
    <x v="1"/>
    <x v="7"/>
    <x v="5"/>
    <n v="1555"/>
    <n v="361"/>
    <n v="0"/>
    <n v="91"/>
    <n v="30"/>
    <n v="482"/>
    <n v="0.30996784565916397"/>
    <n v="0.69003215434083609"/>
    <n v="0"/>
    <n v="1"/>
    <n v="0.30996784565916397"/>
    <n v="6"/>
    <x v="0"/>
    <x v="5"/>
  </r>
  <r>
    <x v="2"/>
    <n v="311"/>
    <x v="1"/>
    <x v="3"/>
    <x v="6"/>
    <n v="6531"/>
    <n v="1020"/>
    <n v="0"/>
    <n v="132"/>
    <n v="20"/>
    <n v="1172"/>
    <n v="0.17945184504670036"/>
    <n v="0.82054815495329958"/>
    <n v="0"/>
    <n v="1"/>
    <n v="0.17945184504670036"/>
    <n v="7"/>
    <x v="0"/>
    <x v="6"/>
  </r>
  <r>
    <x v="2"/>
    <n v="311"/>
    <x v="1"/>
    <x v="5"/>
    <x v="7"/>
    <n v="7153"/>
    <n v="998"/>
    <n v="0"/>
    <n v="160"/>
    <n v="29"/>
    <n v="1187"/>
    <n v="0.16594435901020552"/>
    <n v="0.83405564098979446"/>
    <n v="0"/>
    <n v="1"/>
    <n v="0.16594435901020552"/>
    <n v="8"/>
    <x v="0"/>
    <x v="7"/>
  </r>
  <r>
    <x v="2"/>
    <n v="311"/>
    <x v="1"/>
    <x v="14"/>
    <x v="8"/>
    <n v="6220"/>
    <n v="757"/>
    <n v="0"/>
    <n v="153"/>
    <n v="5"/>
    <n v="915"/>
    <n v="0.14710610932475884"/>
    <n v="0.85289389067524113"/>
    <n v="0"/>
    <n v="1"/>
    <n v="0.14710610932475884"/>
    <n v="9"/>
    <x v="0"/>
    <x v="8"/>
  </r>
  <r>
    <x v="2"/>
    <n v="311"/>
    <x v="1"/>
    <x v="3"/>
    <x v="9"/>
    <n v="6531"/>
    <n v="950"/>
    <n v="0"/>
    <n v="187"/>
    <n v="35"/>
    <n v="1172"/>
    <n v="0.17945184504670036"/>
    <n v="0.82054815495329958"/>
    <n v="0"/>
    <n v="1"/>
    <n v="0.17945184504670036"/>
    <n v="10"/>
    <x v="0"/>
    <x v="9"/>
  </r>
  <r>
    <x v="2"/>
    <n v="311"/>
    <x v="1"/>
    <x v="3"/>
    <x v="10"/>
    <n v="6531"/>
    <n v="1037"/>
    <n v="0"/>
    <n v="157"/>
    <n v="30"/>
    <n v="1224"/>
    <n v="0.18741387230133211"/>
    <n v="0.81258612769866789"/>
    <n v="0"/>
    <n v="1"/>
    <n v="0.18741387230133211"/>
    <n v="11"/>
    <x v="0"/>
    <x v="10"/>
  </r>
  <r>
    <x v="2"/>
    <n v="484"/>
    <x v="1"/>
    <x v="2"/>
    <x v="11"/>
    <n v="12100"/>
    <n v="1577"/>
    <n v="0"/>
    <n v="91"/>
    <n v="25"/>
    <n v="1693"/>
    <n v="0.13991735537190084"/>
    <n v="0.86008264462809914"/>
    <n v="0"/>
    <n v="1"/>
    <n v="0.13991735537190084"/>
    <n v="12"/>
    <x v="0"/>
    <x v="11"/>
  </r>
  <r>
    <x v="2"/>
    <n v="484"/>
    <x v="1"/>
    <x v="2"/>
    <x v="0"/>
    <n v="12100"/>
    <n v="995"/>
    <n v="0"/>
    <n v="98"/>
    <n v="0"/>
    <n v="1093"/>
    <n v="9.0330578512396689E-2"/>
    <n v="0.90966942148760332"/>
    <n v="0"/>
    <n v="1"/>
    <n v="9.0330578512396689E-2"/>
    <n v="1"/>
    <x v="1"/>
    <x v="12"/>
  </r>
  <r>
    <x v="2"/>
    <n v="484"/>
    <x v="1"/>
    <x v="1"/>
    <x v="1"/>
    <n v="11616"/>
    <n v="912"/>
    <n v="0"/>
    <n v="121"/>
    <n v="36"/>
    <n v="1069"/>
    <n v="9.2028236914600547E-2"/>
    <n v="0.9079717630853994"/>
    <n v="0"/>
    <n v="1"/>
    <n v="9.2028236914600547E-2"/>
    <n v="2"/>
    <x v="1"/>
    <x v="13"/>
  </r>
  <r>
    <x v="2"/>
    <n v="484"/>
    <x v="1"/>
    <x v="1"/>
    <x v="2"/>
    <n v="11616"/>
    <n v="1017"/>
    <n v="0"/>
    <n v="93"/>
    <n v="41"/>
    <n v="1151"/>
    <n v="9.9087465564738297E-2"/>
    <n v="0.90091253443526176"/>
    <n v="0"/>
    <n v="1"/>
    <n v="9.9087465564738297E-2"/>
    <n v="3"/>
    <x v="1"/>
    <x v="14"/>
  </r>
  <r>
    <x v="2"/>
    <n v="484"/>
    <x v="1"/>
    <x v="0"/>
    <x v="3"/>
    <n v="12584"/>
    <n v="1342"/>
    <n v="0"/>
    <n v="70"/>
    <n v="27"/>
    <n v="1439"/>
    <n v="0.11435155753337571"/>
    <n v="0.88564844246662433"/>
    <n v="0"/>
    <n v="1"/>
    <n v="0.11435155753337571"/>
    <n v="4"/>
    <x v="1"/>
    <x v="15"/>
  </r>
  <r>
    <x v="2"/>
    <n v="484"/>
    <x v="1"/>
    <x v="0"/>
    <x v="4"/>
    <n v="12584"/>
    <n v="1960"/>
    <n v="0"/>
    <n v="78"/>
    <n v="42"/>
    <n v="2080"/>
    <n v="0.16528925619834711"/>
    <n v="0.83471074380165289"/>
    <n v="0"/>
    <n v="1"/>
    <n v="0.16528925619834711"/>
    <n v="5"/>
    <x v="1"/>
    <x v="16"/>
  </r>
  <r>
    <x v="2"/>
    <n v="484"/>
    <x v="1"/>
    <x v="17"/>
    <x v="5"/>
    <n v="1936"/>
    <n v="353"/>
    <n v="0"/>
    <n v="13"/>
    <n v="3"/>
    <n v="369"/>
    <n v="0.190599173553719"/>
    <n v="0.80940082644628097"/>
    <n v="0"/>
    <n v="1"/>
    <n v="0.190599173553719"/>
    <n v="6"/>
    <x v="1"/>
    <x v="17"/>
  </r>
  <r>
    <x v="2"/>
    <n v="311"/>
    <x v="1"/>
    <x v="4"/>
    <x v="6"/>
    <n v="6842"/>
    <n v="695"/>
    <n v="0"/>
    <n v="93"/>
    <n v="6"/>
    <n v="794"/>
    <n v="0.1160479391990646"/>
    <n v="0.88395206080093536"/>
    <n v="0"/>
    <n v="1"/>
    <n v="0.1160479391990646"/>
    <n v="7"/>
    <x v="1"/>
    <x v="18"/>
  </r>
  <r>
    <x v="2"/>
    <n v="311"/>
    <x v="1"/>
    <x v="4"/>
    <x v="7"/>
    <n v="6842"/>
    <n v="659"/>
    <n v="0"/>
    <n v="211"/>
    <n v="29"/>
    <n v="899"/>
    <n v="0.13139432914352528"/>
    <n v="0.86860567085647467"/>
    <n v="0"/>
    <n v="1"/>
    <n v="0.13139432914352528"/>
    <n v="8"/>
    <x v="1"/>
    <x v="19"/>
  </r>
  <r>
    <x v="2"/>
    <n v="311"/>
    <x v="1"/>
    <x v="11"/>
    <x v="8"/>
    <n v="5909"/>
    <n v="673"/>
    <n v="0"/>
    <n v="116"/>
    <n v="26"/>
    <n v="815"/>
    <n v="0.13792519884921306"/>
    <n v="0.86207480115078694"/>
    <n v="0"/>
    <n v="1"/>
    <n v="0.13792519884921306"/>
    <n v="9"/>
    <x v="1"/>
    <x v="20"/>
  </r>
  <r>
    <x v="2"/>
    <n v="311"/>
    <x v="1"/>
    <x v="5"/>
    <x v="9"/>
    <n v="7153"/>
    <n v="701"/>
    <n v="0"/>
    <n v="192"/>
    <n v="82"/>
    <n v="975"/>
    <n v="0.13630644484831539"/>
    <n v="0.86369355515168467"/>
    <n v="0"/>
    <n v="1"/>
    <n v="0.13630644484831539"/>
    <n v="10"/>
    <x v="1"/>
    <x v="21"/>
  </r>
  <r>
    <x v="2"/>
    <n v="311"/>
    <x v="1"/>
    <x v="14"/>
    <x v="10"/>
    <n v="6220"/>
    <n v="743"/>
    <n v="0"/>
    <n v="90"/>
    <n v="31"/>
    <n v="864"/>
    <n v="0.13890675241157557"/>
    <n v="0.86109324758842443"/>
    <n v="0"/>
    <n v="1"/>
    <n v="0.13890675241157557"/>
    <n v="11"/>
    <x v="1"/>
    <x v="22"/>
  </r>
  <r>
    <x v="2"/>
    <n v="484"/>
    <x v="1"/>
    <x v="2"/>
    <x v="11"/>
    <n v="12100"/>
    <n v="1351"/>
    <n v="0"/>
    <n v="72"/>
    <n v="62"/>
    <n v="1485"/>
    <n v="0.12272727272727273"/>
    <n v="0.87727272727272732"/>
    <n v="0"/>
    <n v="1"/>
    <n v="0.12272727272727273"/>
    <n v="12"/>
    <x v="1"/>
    <x v="23"/>
  </r>
  <r>
    <x v="2"/>
    <n v="484"/>
    <x v="1"/>
    <x v="2"/>
    <x v="0"/>
    <n v="12100"/>
    <n v="1212"/>
    <n v="0"/>
    <n v="162"/>
    <n v="87"/>
    <n v="1461"/>
    <n v="0.12074380165289256"/>
    <n v="0.87925619834710744"/>
    <n v="7.5700000000000003E-2"/>
    <n v="0.92430000000000001"/>
    <n v="4.5043801652892554E-2"/>
    <n v="1"/>
    <x v="2"/>
    <x v="24"/>
  </r>
  <r>
    <x v="2"/>
    <n v="484"/>
    <x v="1"/>
    <x v="1"/>
    <x v="1"/>
    <n v="11616"/>
    <n v="1188"/>
    <n v="0"/>
    <n v="144"/>
    <n v="119"/>
    <n v="1451"/>
    <n v="0.12491391184573003"/>
    <n v="0.87508608815426991"/>
    <n v="7.7200000000000005E-2"/>
    <n v="0.92279999999999995"/>
    <n v="4.7713911845730025E-2"/>
    <n v="2"/>
    <x v="2"/>
    <x v="25"/>
  </r>
  <r>
    <x v="2"/>
    <n v="484"/>
    <x v="1"/>
    <x v="5"/>
    <x v="2"/>
    <n v="11132"/>
    <n v="1398"/>
    <n v="0"/>
    <n v="112"/>
    <n v="95"/>
    <n v="1605"/>
    <n v="0.14417894358605821"/>
    <n v="0.85582105641394179"/>
    <n v="8.3099999999999993E-2"/>
    <n v="0.91690000000000005"/>
    <n v="6.1078943586058213E-2"/>
    <n v="3"/>
    <x v="2"/>
    <x v="26"/>
  </r>
  <r>
    <x v="2"/>
    <n v="484"/>
    <x v="1"/>
    <x v="2"/>
    <x v="3"/>
    <n v="12100"/>
    <n v="1642"/>
    <n v="0"/>
    <n v="101"/>
    <n v="110"/>
    <n v="1853"/>
    <n v="0.15314049586776859"/>
    <n v="0.84685950413223143"/>
    <n v="9.5899999999999999E-2"/>
    <n v="0.90410000000000001"/>
    <n v="5.7240495867768595E-2"/>
    <n v="4"/>
    <x v="2"/>
    <x v="27"/>
  </r>
  <r>
    <x v="2"/>
    <n v="484"/>
    <x v="1"/>
    <x v="0"/>
    <x v="4"/>
    <n v="12584"/>
    <n v="2574"/>
    <n v="0"/>
    <n v="165"/>
    <n v="159"/>
    <n v="2898"/>
    <n v="0.23029243483788939"/>
    <n v="0.76970756516211059"/>
    <n v="0.1386"/>
    <n v="0.86139999999999994"/>
    <n v="9.1692434837889386E-2"/>
    <n v="5"/>
    <x v="2"/>
    <x v="28"/>
  </r>
  <r>
    <x v="2"/>
    <n v="484"/>
    <x v="1"/>
    <x v="18"/>
    <x v="5"/>
    <n v="7744"/>
    <n v="1949"/>
    <n v="0"/>
    <n v="92"/>
    <n v="65"/>
    <n v="2106"/>
    <n v="0.27195247933884298"/>
    <n v="0.72804752066115697"/>
    <n v="0.1598"/>
    <n v="0.84020000000000006"/>
    <n v="0.11215247933884298"/>
    <n v="6"/>
    <x v="2"/>
    <x v="29"/>
  </r>
  <r>
    <x v="2"/>
    <n v="311"/>
    <x v="1"/>
    <x v="19"/>
    <x v="6"/>
    <n v="3732"/>
    <n v="471"/>
    <n v="0"/>
    <n v="82"/>
    <n v="14"/>
    <n v="567"/>
    <n v="0.15192926045016078"/>
    <n v="0.84807073954983925"/>
    <n v="9.7299999999999998E-2"/>
    <n v="0.90270000000000006"/>
    <n v="5.4629260450160783E-2"/>
    <n v="7"/>
    <x v="2"/>
    <x v="30"/>
  </r>
  <r>
    <x v="2"/>
    <n v="311"/>
    <x v="1"/>
    <x v="3"/>
    <x v="7"/>
    <n v="6531"/>
    <n v="885"/>
    <n v="0"/>
    <n v="124"/>
    <n v="27"/>
    <n v="1036"/>
    <n v="0.15862808145766344"/>
    <n v="0.84137191854233651"/>
    <n v="0.11020000000000001"/>
    <n v="0.88980000000000004"/>
    <n v="4.8428081457663433E-2"/>
    <n v="8"/>
    <x v="2"/>
    <x v="31"/>
  </r>
  <r>
    <x v="2"/>
    <n v="311"/>
    <x v="1"/>
    <x v="14"/>
    <x v="8"/>
    <n v="6220"/>
    <n v="489"/>
    <n v="0"/>
    <n v="76"/>
    <n v="63"/>
    <n v="628"/>
    <n v="0.10096463022508038"/>
    <n v="0.8990353697749196"/>
    <n v="0.1157"/>
    <n v="0.88429999999999997"/>
    <n v="-1.4735369774919613E-2"/>
    <n v="9"/>
    <x v="2"/>
    <x v="32"/>
  </r>
  <r>
    <x v="2"/>
    <n v="311"/>
    <x v="1"/>
    <x v="5"/>
    <x v="9"/>
    <n v="7153"/>
    <n v="553"/>
    <n v="0"/>
    <n v="80"/>
    <n v="77"/>
    <n v="710"/>
    <n v="9.925905214595275E-2"/>
    <n v="0.90074094785404724"/>
    <n v="0.1143"/>
    <n v="0.88570000000000004"/>
    <n v="-1.5040947854047249E-2"/>
    <n v="10"/>
    <x v="2"/>
    <x v="33"/>
  </r>
  <r>
    <x v="2"/>
    <n v="311"/>
    <x v="1"/>
    <x v="3"/>
    <x v="10"/>
    <n v="6531"/>
    <n v="647"/>
    <n v="0"/>
    <n v="132"/>
    <n v="59"/>
    <n v="838"/>
    <n v="0.12831113152656562"/>
    <n v="0.87168886847343441"/>
    <n v="0.11650000000000001"/>
    <n v="0.88349999999999995"/>
    <n v="1.1811131526565613E-2"/>
    <n v="11"/>
    <x v="2"/>
    <x v="34"/>
  </r>
  <r>
    <x v="2"/>
    <n v="157"/>
    <x v="0"/>
    <x v="3"/>
    <x v="10"/>
    <n v="3297"/>
    <n v="0"/>
    <n v="0"/>
    <n v="0"/>
    <n v="30"/>
    <n v="30"/>
    <n v="9.0991810737033659E-3"/>
    <n v="0.99090081892629667"/>
    <n v="0.11650000000000001"/>
    <n v="0.88349999999999995"/>
    <n v="-0.10740081892629665"/>
    <n v="11"/>
    <x v="2"/>
    <x v="34"/>
  </r>
  <r>
    <x v="2"/>
    <n v="484"/>
    <x v="1"/>
    <x v="0"/>
    <x v="11"/>
    <n v="12584"/>
    <n v="1727"/>
    <n v="0"/>
    <n v="188"/>
    <n v="74"/>
    <n v="1989"/>
    <n v="0.15805785123966942"/>
    <n v="0.84194214876033058"/>
    <n v="7.5999999999999998E-2"/>
    <n v="0.92400000000000004"/>
    <n v="8.2057851239669424E-2"/>
    <n v="12"/>
    <x v="2"/>
    <x v="35"/>
  </r>
  <r>
    <x v="2"/>
    <n v="154"/>
    <x v="0"/>
    <x v="0"/>
    <x v="11"/>
    <n v="4004"/>
    <n v="0"/>
    <n v="0"/>
    <n v="39"/>
    <n v="0"/>
    <n v="39"/>
    <n v="9.74025974025974E-3"/>
    <n v="0.99025974025974028"/>
    <n v="7.5999999999999998E-2"/>
    <n v="0.92400000000000004"/>
    <n v="-6.6259740259740255E-2"/>
    <n v="12"/>
    <x v="2"/>
    <x v="35"/>
  </r>
  <r>
    <x v="2"/>
    <n v="484"/>
    <x v="1"/>
    <x v="2"/>
    <x v="0"/>
    <n v="12100"/>
    <n v="1499"/>
    <n v="0"/>
    <n v="172"/>
    <n v="97"/>
    <n v="1768"/>
    <n v="0.14611570247933883"/>
    <n v="0.8538842975206612"/>
    <n v="0.1022"/>
    <n v="0.89780000000000004"/>
    <n v="4.3915702479338833E-2"/>
    <n v="1"/>
    <x v="3"/>
    <x v="36"/>
  </r>
  <r>
    <x v="2"/>
    <n v="158"/>
    <x v="0"/>
    <x v="2"/>
    <x v="0"/>
    <n v="3950"/>
    <n v="0"/>
    <n v="0"/>
    <n v="31"/>
    <n v="0"/>
    <n v="31"/>
    <n v="7.8481012658227853E-3"/>
    <n v="0.9921518987341772"/>
    <n v="0.1022"/>
    <n v="0.89780000000000004"/>
    <n v="-9.4351898734177209E-2"/>
    <n v="1"/>
    <x v="3"/>
    <x v="36"/>
  </r>
  <r>
    <x v="2"/>
    <n v="484"/>
    <x v="1"/>
    <x v="5"/>
    <x v="1"/>
    <n v="11132"/>
    <n v="1292"/>
    <n v="0"/>
    <n v="167"/>
    <n v="136"/>
    <n v="1595"/>
    <n v="0.1432806324110672"/>
    <n v="0.85671936758893286"/>
    <n v="0.10580000000000001"/>
    <n v="0.89419999999999999"/>
    <n v="3.7480632411067194E-2"/>
    <n v="2"/>
    <x v="3"/>
    <x v="37"/>
  </r>
  <r>
    <x v="2"/>
    <n v="156"/>
    <x v="0"/>
    <x v="5"/>
    <x v="1"/>
    <n v="3588"/>
    <n v="0"/>
    <n v="0"/>
    <n v="28"/>
    <n v="0"/>
    <n v="28"/>
    <n v="7.803790412486065E-3"/>
    <n v="0.99219620958751398"/>
    <n v="0.10580000000000001"/>
    <n v="0.89419999999999999"/>
    <n v="-9.7996209587513941E-2"/>
    <n v="2"/>
    <x v="3"/>
    <x v="37"/>
  </r>
  <r>
    <x v="2"/>
    <n v="484"/>
    <x v="1"/>
    <x v="2"/>
    <x v="2"/>
    <n v="12100"/>
    <n v="1918"/>
    <n v="0"/>
    <n v="221"/>
    <n v="176"/>
    <n v="2315"/>
    <n v="0.19132231404958677"/>
    <n v="0.80867768595041323"/>
    <n v="0.1221"/>
    <n v="0.87790000000000001"/>
    <n v="6.9222314049586772E-2"/>
    <n v="3"/>
    <x v="3"/>
    <x v="38"/>
  </r>
  <r>
    <x v="2"/>
    <n v="159"/>
    <x v="0"/>
    <x v="2"/>
    <x v="2"/>
    <n v="3975"/>
    <n v="0"/>
    <n v="0"/>
    <n v="32"/>
    <n v="13"/>
    <n v="45"/>
    <n v="1.1320754716981131E-2"/>
    <n v="0.98867924528301887"/>
    <n v="0.1221"/>
    <n v="0.87790000000000001"/>
    <n v="-0.11077924528301887"/>
    <n v="3"/>
    <x v="3"/>
    <x v="38"/>
  </r>
  <r>
    <x v="2"/>
    <n v="484"/>
    <x v="1"/>
    <x v="2"/>
    <x v="3"/>
    <n v="12100"/>
    <n v="1589"/>
    <n v="0"/>
    <n v="175"/>
    <n v="149"/>
    <n v="1913"/>
    <n v="0.158099173553719"/>
    <n v="0.84190082644628106"/>
    <n v="0.12970000000000001"/>
    <n v="0.87029999999999996"/>
    <n v="2.8399173553718987E-2"/>
    <n v="4"/>
    <x v="3"/>
    <x v="39"/>
  </r>
  <r>
    <x v="2"/>
    <n v="161"/>
    <x v="0"/>
    <x v="2"/>
    <x v="3"/>
    <n v="4025"/>
    <n v="0"/>
    <n v="0"/>
    <n v="3"/>
    <n v="15"/>
    <n v="18"/>
    <n v="4.4720496894409935E-3"/>
    <n v="0.99552795031055896"/>
    <n v="0.12970000000000001"/>
    <n v="0.87029999999999996"/>
    <n v="-0.12522795031055903"/>
    <n v="4"/>
    <x v="3"/>
    <x v="39"/>
  </r>
  <r>
    <x v="2"/>
    <m/>
    <x v="1"/>
    <x v="13"/>
    <x v="4"/>
    <m/>
    <m/>
    <m/>
    <m/>
    <m/>
    <m/>
    <m/>
    <m/>
    <n v="0.19500000000000001"/>
    <n v="0.80499999999999994"/>
    <m/>
    <n v="5"/>
    <x v="3"/>
    <x v="40"/>
  </r>
  <r>
    <x v="2"/>
    <m/>
    <x v="0"/>
    <x v="13"/>
    <x v="4"/>
    <m/>
    <m/>
    <m/>
    <m/>
    <m/>
    <m/>
    <m/>
    <m/>
    <n v="0.19500000000000001"/>
    <n v="0.80499999999999994"/>
    <m/>
    <n v="5"/>
    <x v="3"/>
    <x v="40"/>
  </r>
  <r>
    <x v="2"/>
    <m/>
    <x v="1"/>
    <x v="13"/>
    <x v="5"/>
    <m/>
    <m/>
    <m/>
    <m/>
    <m/>
    <m/>
    <m/>
    <m/>
    <n v="0.2303"/>
    <n v="0.76970000000000005"/>
    <m/>
    <n v="6"/>
    <x v="3"/>
    <x v="41"/>
  </r>
  <r>
    <x v="2"/>
    <m/>
    <x v="0"/>
    <x v="13"/>
    <x v="5"/>
    <m/>
    <m/>
    <m/>
    <m/>
    <m/>
    <m/>
    <m/>
    <m/>
    <n v="0.2303"/>
    <n v="0.76970000000000005"/>
    <m/>
    <n v="6"/>
    <x v="3"/>
    <x v="41"/>
  </r>
  <r>
    <x v="2"/>
    <m/>
    <x v="1"/>
    <x v="13"/>
    <x v="6"/>
    <m/>
    <m/>
    <m/>
    <m/>
    <m/>
    <m/>
    <m/>
    <m/>
    <n v="0.12859999999999999"/>
    <n v="0.87139999999999995"/>
    <m/>
    <n v="7"/>
    <x v="3"/>
    <x v="42"/>
  </r>
  <r>
    <x v="2"/>
    <m/>
    <x v="0"/>
    <x v="13"/>
    <x v="6"/>
    <m/>
    <m/>
    <m/>
    <m/>
    <m/>
    <m/>
    <m/>
    <m/>
    <n v="0.12859999999999999"/>
    <n v="0.87139999999999995"/>
    <m/>
    <n v="7"/>
    <x v="3"/>
    <x v="42"/>
  </r>
  <r>
    <x v="2"/>
    <m/>
    <x v="1"/>
    <x v="13"/>
    <x v="7"/>
    <m/>
    <m/>
    <m/>
    <m/>
    <m/>
    <m/>
    <m/>
    <m/>
    <n v="0.1343"/>
    <n v="0.86570000000000003"/>
    <m/>
    <n v="8"/>
    <x v="3"/>
    <x v="43"/>
  </r>
  <r>
    <x v="2"/>
    <m/>
    <x v="0"/>
    <x v="13"/>
    <x v="7"/>
    <m/>
    <m/>
    <m/>
    <m/>
    <m/>
    <m/>
    <m/>
    <m/>
    <n v="0.1343"/>
    <n v="0.86570000000000003"/>
    <m/>
    <n v="8"/>
    <x v="3"/>
    <x v="43"/>
  </r>
  <r>
    <x v="2"/>
    <m/>
    <x v="1"/>
    <x v="13"/>
    <x v="8"/>
    <m/>
    <m/>
    <m/>
    <m/>
    <m/>
    <m/>
    <m/>
    <m/>
    <n v="8.5500000000000007E-2"/>
    <n v="0.91449999999999998"/>
    <m/>
    <n v="9"/>
    <x v="3"/>
    <x v="44"/>
  </r>
  <r>
    <x v="2"/>
    <m/>
    <x v="0"/>
    <x v="13"/>
    <x v="8"/>
    <m/>
    <m/>
    <m/>
    <m/>
    <m/>
    <m/>
    <m/>
    <m/>
    <n v="8.5500000000000007E-2"/>
    <n v="0.91449999999999998"/>
    <m/>
    <n v="9"/>
    <x v="3"/>
    <x v="44"/>
  </r>
  <r>
    <x v="2"/>
    <m/>
    <x v="1"/>
    <x v="13"/>
    <x v="9"/>
    <m/>
    <m/>
    <m/>
    <m/>
    <m/>
    <m/>
    <m/>
    <m/>
    <n v="8.4000000000000005E-2"/>
    <n v="0.91600000000000004"/>
    <m/>
    <n v="10"/>
    <x v="3"/>
    <x v="45"/>
  </r>
  <r>
    <x v="2"/>
    <m/>
    <x v="0"/>
    <x v="13"/>
    <x v="9"/>
    <m/>
    <m/>
    <m/>
    <m/>
    <m/>
    <m/>
    <m/>
    <m/>
    <n v="8.4000000000000005E-2"/>
    <n v="0.91600000000000004"/>
    <m/>
    <n v="10"/>
    <x v="3"/>
    <x v="45"/>
  </r>
  <r>
    <x v="2"/>
    <m/>
    <x v="1"/>
    <x v="13"/>
    <x v="10"/>
    <m/>
    <m/>
    <m/>
    <m/>
    <m/>
    <m/>
    <m/>
    <m/>
    <n v="0.1086"/>
    <n v="0.89139999999999997"/>
    <m/>
    <n v="11"/>
    <x v="3"/>
    <x v="46"/>
  </r>
  <r>
    <x v="2"/>
    <m/>
    <x v="0"/>
    <x v="13"/>
    <x v="10"/>
    <m/>
    <m/>
    <m/>
    <m/>
    <m/>
    <m/>
    <m/>
    <m/>
    <n v="0.1086"/>
    <n v="0.89139999999999997"/>
    <m/>
    <n v="11"/>
    <x v="3"/>
    <x v="46"/>
  </r>
  <r>
    <x v="2"/>
    <m/>
    <x v="1"/>
    <x v="13"/>
    <x v="11"/>
    <m/>
    <m/>
    <m/>
    <m/>
    <m/>
    <m/>
    <m/>
    <m/>
    <n v="0.1338"/>
    <n v="0.86619999999999997"/>
    <m/>
    <n v="12"/>
    <x v="3"/>
    <x v="47"/>
  </r>
  <r>
    <x v="2"/>
    <m/>
    <x v="0"/>
    <x v="13"/>
    <x v="11"/>
    <m/>
    <m/>
    <m/>
    <m/>
    <m/>
    <m/>
    <m/>
    <m/>
    <n v="0.1338"/>
    <n v="0.86619999999999997"/>
    <m/>
    <n v="12"/>
    <x v="3"/>
    <x v="47"/>
  </r>
  <r>
    <x v="3"/>
    <n v="110"/>
    <x v="0"/>
    <x v="0"/>
    <x v="0"/>
    <n v="2860"/>
    <n v="0"/>
    <n v="0"/>
    <n v="0"/>
    <n v="8"/>
    <n v="8"/>
    <n v="2.7972027972027972E-3"/>
    <n v="0.99720279720279725"/>
    <n v="0"/>
    <n v="1"/>
    <n v="2.7972027972027972E-3"/>
    <n v="1"/>
    <x v="0"/>
    <x v="0"/>
  </r>
  <r>
    <x v="3"/>
    <n v="117"/>
    <x v="0"/>
    <x v="1"/>
    <x v="1"/>
    <n v="2808"/>
    <n v="0"/>
    <n v="0"/>
    <n v="0"/>
    <n v="0"/>
    <n v="0"/>
    <n v="0"/>
    <n v="1"/>
    <n v="0"/>
    <n v="1"/>
    <n v="0"/>
    <n v="2"/>
    <x v="0"/>
    <x v="1"/>
  </r>
  <r>
    <x v="3"/>
    <n v="118"/>
    <x v="0"/>
    <x v="9"/>
    <x v="2"/>
    <n v="3186"/>
    <n v="0"/>
    <n v="0"/>
    <n v="6"/>
    <n v="0"/>
    <n v="6"/>
    <n v="1.8832391713747645E-3"/>
    <n v="0.99811676082862522"/>
    <n v="0"/>
    <n v="1"/>
    <n v="1.8832391713747645E-3"/>
    <n v="3"/>
    <x v="0"/>
    <x v="2"/>
  </r>
  <r>
    <x v="3"/>
    <n v="119"/>
    <x v="0"/>
    <x v="2"/>
    <x v="3"/>
    <n v="2975"/>
    <n v="0"/>
    <n v="0"/>
    <n v="0"/>
    <n v="0"/>
    <n v="0"/>
    <n v="0"/>
    <n v="1"/>
    <n v="0"/>
    <n v="1"/>
    <n v="0"/>
    <n v="4"/>
    <x v="0"/>
    <x v="3"/>
  </r>
  <r>
    <x v="3"/>
    <n v="93"/>
    <x v="0"/>
    <x v="20"/>
    <x v="4"/>
    <n v="744"/>
    <n v="0"/>
    <n v="0"/>
    <n v="0"/>
    <n v="0"/>
    <n v="0"/>
    <n v="0"/>
    <n v="1"/>
    <n v="0"/>
    <n v="1"/>
    <n v="0"/>
    <n v="5"/>
    <x v="0"/>
    <x v="4"/>
  </r>
  <r>
    <x v="3"/>
    <n v="93"/>
    <x v="0"/>
    <x v="4"/>
    <x v="5"/>
    <n v="2046"/>
    <n v="0"/>
    <n v="0"/>
    <n v="0"/>
    <n v="0"/>
    <n v="0"/>
    <n v="0"/>
    <n v="1"/>
    <n v="0"/>
    <n v="1"/>
    <n v="0"/>
    <n v="6"/>
    <x v="0"/>
    <x v="5"/>
  </r>
  <r>
    <x v="3"/>
    <n v="93"/>
    <x v="0"/>
    <x v="3"/>
    <x v="6"/>
    <n v="1953"/>
    <n v="0"/>
    <n v="0"/>
    <n v="0"/>
    <n v="0"/>
    <n v="0"/>
    <n v="0"/>
    <n v="1"/>
    <n v="0"/>
    <n v="1"/>
    <n v="0"/>
    <n v="7"/>
    <x v="0"/>
    <x v="6"/>
  </r>
  <r>
    <x v="3"/>
    <n v="91"/>
    <x v="0"/>
    <x v="5"/>
    <x v="7"/>
    <n v="2093"/>
    <n v="0"/>
    <n v="0"/>
    <n v="0"/>
    <n v="0"/>
    <n v="0"/>
    <n v="0"/>
    <n v="1"/>
    <n v="0"/>
    <n v="1"/>
    <n v="0"/>
    <n v="8"/>
    <x v="0"/>
    <x v="7"/>
  </r>
  <r>
    <x v="3"/>
    <n v="91"/>
    <x v="0"/>
    <x v="3"/>
    <x v="8"/>
    <n v="1911"/>
    <n v="0"/>
    <n v="0"/>
    <n v="0"/>
    <n v="0"/>
    <n v="0"/>
    <n v="0"/>
    <n v="1"/>
    <n v="0"/>
    <n v="1"/>
    <n v="0"/>
    <n v="9"/>
    <x v="0"/>
    <x v="8"/>
  </r>
  <r>
    <x v="3"/>
    <n v="88"/>
    <x v="0"/>
    <x v="3"/>
    <x v="9"/>
    <n v="1848"/>
    <n v="0"/>
    <n v="0"/>
    <n v="0"/>
    <n v="0"/>
    <n v="0"/>
    <n v="0"/>
    <n v="1"/>
    <n v="0"/>
    <n v="1"/>
    <n v="0"/>
    <n v="10"/>
    <x v="0"/>
    <x v="9"/>
  </r>
  <r>
    <x v="3"/>
    <n v="100"/>
    <x v="0"/>
    <x v="3"/>
    <x v="10"/>
    <n v="2100"/>
    <n v="0"/>
    <n v="0"/>
    <n v="0"/>
    <n v="0"/>
    <n v="0"/>
    <n v="0"/>
    <n v="1"/>
    <n v="0"/>
    <n v="1"/>
    <n v="0"/>
    <n v="11"/>
    <x v="0"/>
    <x v="10"/>
  </r>
  <r>
    <x v="3"/>
    <n v="118"/>
    <x v="0"/>
    <x v="3"/>
    <x v="11"/>
    <n v="2478"/>
    <n v="0"/>
    <n v="0"/>
    <n v="0"/>
    <n v="0"/>
    <n v="0"/>
    <n v="0"/>
    <n v="1"/>
    <n v="0"/>
    <n v="1"/>
    <n v="0"/>
    <n v="12"/>
    <x v="0"/>
    <x v="11"/>
  </r>
  <r>
    <x v="3"/>
    <n v="130"/>
    <x v="0"/>
    <x v="21"/>
    <x v="0"/>
    <n v="3770"/>
    <n v="0"/>
    <n v="0"/>
    <n v="0"/>
    <n v="1"/>
    <n v="1"/>
    <n v="2.652519893899204E-4"/>
    <n v="0.99973474801061013"/>
    <n v="0"/>
    <n v="1"/>
    <n v="2.652519893899204E-4"/>
    <n v="1"/>
    <x v="1"/>
    <x v="12"/>
  </r>
  <r>
    <x v="3"/>
    <n v="138"/>
    <x v="0"/>
    <x v="21"/>
    <x v="1"/>
    <n v="4002"/>
    <n v="4"/>
    <n v="0"/>
    <n v="0"/>
    <n v="0"/>
    <n v="4"/>
    <n v="9.9950024987506244E-4"/>
    <n v="0.99900049975012495"/>
    <n v="0"/>
    <n v="1"/>
    <n v="9.9950024987506244E-4"/>
    <n v="2"/>
    <x v="1"/>
    <x v="13"/>
  </r>
  <r>
    <x v="3"/>
    <n v="137"/>
    <x v="0"/>
    <x v="22"/>
    <x v="2"/>
    <n v="4247"/>
    <n v="0"/>
    <n v="0"/>
    <n v="0"/>
    <n v="0"/>
    <n v="0"/>
    <n v="0"/>
    <n v="1"/>
    <n v="0"/>
    <n v="1"/>
    <n v="0"/>
    <n v="3"/>
    <x v="1"/>
    <x v="14"/>
  </r>
  <r>
    <x v="3"/>
    <n v="136"/>
    <x v="0"/>
    <x v="23"/>
    <x v="3"/>
    <n v="4080"/>
    <n v="0"/>
    <n v="0"/>
    <n v="0"/>
    <n v="0"/>
    <n v="0"/>
    <n v="0"/>
    <n v="1"/>
    <n v="0"/>
    <n v="1"/>
    <n v="0"/>
    <n v="4"/>
    <x v="1"/>
    <x v="15"/>
  </r>
  <r>
    <x v="3"/>
    <n v="144"/>
    <x v="0"/>
    <x v="11"/>
    <x v="4"/>
    <n v="2736"/>
    <n v="0"/>
    <n v="0"/>
    <n v="0"/>
    <n v="0"/>
    <n v="0"/>
    <n v="0"/>
    <n v="1"/>
    <n v="0"/>
    <n v="1"/>
    <n v="0"/>
    <n v="5"/>
    <x v="1"/>
    <x v="16"/>
  </r>
  <r>
    <x v="3"/>
    <n v="122"/>
    <x v="0"/>
    <x v="10"/>
    <x v="5"/>
    <n v="1830"/>
    <n v="0"/>
    <n v="0"/>
    <n v="0"/>
    <n v="0"/>
    <n v="0"/>
    <n v="0"/>
    <n v="1"/>
    <n v="0"/>
    <n v="1"/>
    <n v="0"/>
    <n v="6"/>
    <x v="1"/>
    <x v="17"/>
  </r>
  <r>
    <x v="3"/>
    <n v="117"/>
    <x v="0"/>
    <x v="5"/>
    <x v="6"/>
    <n v="2691"/>
    <n v="0"/>
    <n v="2"/>
    <n v="24"/>
    <n v="0"/>
    <n v="26"/>
    <n v="9.6618357487922701E-3"/>
    <n v="0.99033816425120769"/>
    <n v="0"/>
    <n v="1"/>
    <n v="9.6618357487922701E-3"/>
    <n v="7"/>
    <x v="1"/>
    <x v="18"/>
  </r>
  <r>
    <x v="3"/>
    <n v="118"/>
    <x v="0"/>
    <x v="4"/>
    <x v="7"/>
    <n v="2596"/>
    <n v="0"/>
    <n v="0"/>
    <n v="17"/>
    <n v="0"/>
    <n v="17"/>
    <n v="6.5485362095531584E-3"/>
    <n v="0.9934514637904468"/>
    <n v="0"/>
    <n v="1"/>
    <n v="6.5485362095531584E-3"/>
    <n v="8"/>
    <x v="1"/>
    <x v="19"/>
  </r>
  <r>
    <x v="3"/>
    <n v="119"/>
    <x v="0"/>
    <x v="14"/>
    <x v="8"/>
    <n v="2380"/>
    <n v="2"/>
    <n v="0"/>
    <n v="0"/>
    <n v="0"/>
    <n v="2"/>
    <n v="8.4033613445378156E-4"/>
    <n v="0.99915966386554622"/>
    <n v="0"/>
    <n v="1"/>
    <n v="8.4033613445378156E-4"/>
    <n v="9"/>
    <x v="1"/>
    <x v="20"/>
  </r>
  <r>
    <x v="3"/>
    <n v="116"/>
    <x v="0"/>
    <x v="4"/>
    <x v="9"/>
    <n v="2552"/>
    <n v="3"/>
    <n v="0"/>
    <n v="48"/>
    <n v="0"/>
    <n v="51"/>
    <n v="1.9984326018808778E-2"/>
    <n v="0.98001567398119127"/>
    <n v="0"/>
    <n v="1"/>
    <n v="1.9984326018808778E-2"/>
    <n v="10"/>
    <x v="1"/>
    <x v="21"/>
  </r>
  <r>
    <x v="3"/>
    <n v="121"/>
    <x v="0"/>
    <x v="14"/>
    <x v="10"/>
    <n v="2420"/>
    <n v="1"/>
    <n v="0"/>
    <n v="21"/>
    <n v="0"/>
    <n v="22"/>
    <n v="9.0909090909090905E-3"/>
    <n v="0.99090909090909096"/>
    <n v="0"/>
    <n v="1"/>
    <n v="9.0909090909090905E-3"/>
    <n v="11"/>
    <x v="1"/>
    <x v="22"/>
  </r>
  <r>
    <x v="3"/>
    <n v="125"/>
    <x v="0"/>
    <x v="3"/>
    <x v="11"/>
    <n v="2625"/>
    <n v="0"/>
    <n v="0"/>
    <n v="10"/>
    <n v="0"/>
    <n v="10"/>
    <n v="3.8095238095238095E-3"/>
    <n v="0.99619047619047618"/>
    <n v="0"/>
    <n v="1"/>
    <n v="3.8095238095238095E-3"/>
    <n v="12"/>
    <x v="1"/>
    <x v="23"/>
  </r>
  <r>
    <x v="3"/>
    <n v="140"/>
    <x v="0"/>
    <x v="21"/>
    <x v="0"/>
    <n v="4060"/>
    <n v="3"/>
    <n v="0"/>
    <n v="12"/>
    <n v="0"/>
    <n v="15"/>
    <n v="3.6945812807881772E-3"/>
    <n v="0.99630541871921185"/>
    <n v="7.3400000000000007E-2"/>
    <n v="0.92659999999999998"/>
    <n v="-6.9705418719211834E-2"/>
    <n v="1"/>
    <x v="2"/>
    <x v="24"/>
  </r>
  <r>
    <x v="3"/>
    <n v="146"/>
    <x v="0"/>
    <x v="24"/>
    <x v="1"/>
    <n v="4088"/>
    <n v="2"/>
    <n v="0"/>
    <n v="28"/>
    <n v="0"/>
    <n v="30"/>
    <n v="7.3385518590998039E-3"/>
    <n v="0.99266144814090018"/>
    <n v="8.7400000000000005E-2"/>
    <n v="0.91259999999999997"/>
    <n v="-8.0061448140900202E-2"/>
    <n v="2"/>
    <x v="2"/>
    <x v="25"/>
  </r>
  <r>
    <x v="3"/>
    <n v="145"/>
    <x v="0"/>
    <x v="22"/>
    <x v="2"/>
    <n v="4495"/>
    <n v="4"/>
    <n v="5"/>
    <n v="25"/>
    <n v="0"/>
    <n v="34"/>
    <n v="7.5639599555061181E-3"/>
    <n v="0.99243604004449393"/>
    <n v="9.2100000000000001E-2"/>
    <n v="0.90790000000000004"/>
    <n v="-8.4536040044493888E-2"/>
    <n v="3"/>
    <x v="2"/>
    <x v="26"/>
  </r>
  <r>
    <x v="3"/>
    <n v="145"/>
    <x v="0"/>
    <x v="4"/>
    <x v="3"/>
    <n v="3190"/>
    <n v="0"/>
    <n v="0"/>
    <n v="0"/>
    <n v="0"/>
    <n v="0"/>
    <n v="0"/>
    <n v="1"/>
    <n v="0.1187"/>
    <n v="0.88129999999999997"/>
    <n v="-0.1187"/>
    <n v="4"/>
    <x v="2"/>
    <x v="27"/>
  </r>
  <r>
    <x v="3"/>
    <n v="120"/>
    <x v="0"/>
    <x v="4"/>
    <x v="4"/>
    <n v="2640"/>
    <n v="0"/>
    <n v="0"/>
    <n v="0"/>
    <n v="0"/>
    <n v="0"/>
    <n v="0"/>
    <n v="1"/>
    <n v="0.1091"/>
    <n v="0.89090000000000003"/>
    <n v="-0.1091"/>
    <n v="5"/>
    <x v="2"/>
    <x v="28"/>
  </r>
  <r>
    <x v="3"/>
    <n v="120"/>
    <x v="0"/>
    <x v="3"/>
    <x v="5"/>
    <n v="2520"/>
    <n v="0"/>
    <n v="21"/>
    <n v="0"/>
    <n v="0"/>
    <n v="21"/>
    <n v="8.3333333333333332E-3"/>
    <n v="0.9916666666666667"/>
    <n v="0.1149"/>
    <n v="0.8851"/>
    <n v="-0.10656666666666667"/>
    <n v="6"/>
    <x v="2"/>
    <x v="29"/>
  </r>
  <r>
    <x v="3"/>
    <n v="121"/>
    <x v="0"/>
    <x v="5"/>
    <x v="6"/>
    <n v="2783"/>
    <n v="2"/>
    <n v="23"/>
    <n v="0"/>
    <n v="0"/>
    <n v="25"/>
    <n v="8.9831117499101689E-3"/>
    <n v="0.99101688825008982"/>
    <n v="5.8900000000000001E-2"/>
    <n v="0.94110000000000005"/>
    <n v="-4.991688825008983E-2"/>
    <n v="7"/>
    <x v="2"/>
    <x v="30"/>
  </r>
  <r>
    <x v="3"/>
    <n v="119"/>
    <x v="0"/>
    <x v="3"/>
    <x v="7"/>
    <n v="2499"/>
    <n v="0"/>
    <n v="21"/>
    <n v="0"/>
    <n v="0"/>
    <n v="21"/>
    <n v="8.4033613445378148E-3"/>
    <n v="0.99159663865546221"/>
    <n v="7.9799999999999996E-2"/>
    <n v="0.92020000000000002"/>
    <n v="-7.1396638655462183E-2"/>
    <n v="8"/>
    <x v="2"/>
    <x v="31"/>
  </r>
  <r>
    <x v="3"/>
    <n v="114"/>
    <x v="0"/>
    <x v="3"/>
    <x v="8"/>
    <n v="2394"/>
    <n v="2"/>
    <n v="12"/>
    <n v="0"/>
    <n v="0"/>
    <n v="14"/>
    <n v="5.8479532163742687E-3"/>
    <n v="0.99415204678362579"/>
    <n v="7.6399999999999996E-2"/>
    <n v="0.92359999999999998"/>
    <n v="-7.0552046783625727E-2"/>
    <n v="9"/>
    <x v="2"/>
    <x v="32"/>
  </r>
  <r>
    <x v="3"/>
    <n v="121"/>
    <x v="0"/>
    <x v="5"/>
    <x v="9"/>
    <n v="2783"/>
    <n v="2"/>
    <n v="0"/>
    <n v="0"/>
    <n v="0"/>
    <n v="2"/>
    <n v="7.1864893999281352E-4"/>
    <n v="0.99928135106000715"/>
    <n v="8.4900000000000003E-2"/>
    <n v="0.91510000000000002"/>
    <n v="-8.4181351060007195E-2"/>
    <n v="10"/>
    <x v="2"/>
    <x v="33"/>
  </r>
  <r>
    <x v="3"/>
    <n v="285"/>
    <x v="1"/>
    <x v="0"/>
    <x v="0"/>
    <n v="7410"/>
    <n v="874"/>
    <n v="46"/>
    <n v="56"/>
    <n v="0"/>
    <n v="976"/>
    <n v="0.13171390013495277"/>
    <n v="0.86828609986504723"/>
    <n v="0"/>
    <n v="1"/>
    <n v="0.13171390013495277"/>
    <n v="1"/>
    <x v="0"/>
    <x v="0"/>
  </r>
  <r>
    <x v="3"/>
    <n v="285"/>
    <x v="1"/>
    <x v="1"/>
    <x v="1"/>
    <n v="6840"/>
    <n v="774"/>
    <n v="10"/>
    <n v="69"/>
    <n v="41"/>
    <n v="894"/>
    <n v="0.1307017543859649"/>
    <n v="0.86929824561403513"/>
    <n v="0"/>
    <n v="1"/>
    <n v="0.1307017543859649"/>
    <n v="2"/>
    <x v="0"/>
    <x v="1"/>
  </r>
  <r>
    <x v="3"/>
    <n v="285"/>
    <x v="1"/>
    <x v="9"/>
    <x v="2"/>
    <n v="7695"/>
    <n v="1003"/>
    <n v="28"/>
    <n v="67"/>
    <n v="30"/>
    <n v="1128"/>
    <n v="0.14658869395711502"/>
    <n v="0.85341130604288495"/>
    <n v="0"/>
    <n v="1"/>
    <n v="0.14658869395711502"/>
    <n v="3"/>
    <x v="0"/>
    <x v="2"/>
  </r>
  <r>
    <x v="3"/>
    <n v="285"/>
    <x v="1"/>
    <x v="2"/>
    <x v="3"/>
    <n v="7125"/>
    <n v="1131"/>
    <n v="29"/>
    <n v="57"/>
    <n v="18"/>
    <n v="1235"/>
    <n v="0.17333333333333334"/>
    <n v="0.82666666666666666"/>
    <n v="0"/>
    <n v="1"/>
    <n v="0.17333333333333334"/>
    <n v="4"/>
    <x v="0"/>
    <x v="3"/>
  </r>
  <r>
    <x v="3"/>
    <n v="146"/>
    <x v="1"/>
    <x v="0"/>
    <x v="4"/>
    <n v="3796"/>
    <n v="302"/>
    <n v="2"/>
    <n v="21"/>
    <n v="0"/>
    <n v="325"/>
    <n v="8.5616438356164379E-2"/>
    <n v="0.91438356164383561"/>
    <n v="0"/>
    <n v="1"/>
    <n v="8.5616438356164379E-2"/>
    <n v="5"/>
    <x v="0"/>
    <x v="4"/>
  </r>
  <r>
    <x v="3"/>
    <n v="146"/>
    <x v="1"/>
    <x v="4"/>
    <x v="5"/>
    <n v="3212"/>
    <n v="402"/>
    <n v="63"/>
    <n v="42"/>
    <n v="4"/>
    <n v="511"/>
    <n v="0.15909090909090909"/>
    <n v="0.84090909090909094"/>
    <n v="0"/>
    <n v="1"/>
    <n v="0.15909090909090909"/>
    <n v="6"/>
    <x v="0"/>
    <x v="5"/>
  </r>
  <r>
    <x v="3"/>
    <n v="146"/>
    <x v="1"/>
    <x v="3"/>
    <x v="6"/>
    <n v="3066"/>
    <n v="373"/>
    <n v="6"/>
    <n v="12"/>
    <n v="60"/>
    <n v="451"/>
    <n v="0.14709719504240051"/>
    <n v="0.85290280495759951"/>
    <n v="0"/>
    <n v="1"/>
    <n v="0.14709719504240051"/>
    <n v="7"/>
    <x v="0"/>
    <x v="6"/>
  </r>
  <r>
    <x v="3"/>
    <n v="146"/>
    <x v="1"/>
    <x v="5"/>
    <x v="7"/>
    <n v="3358"/>
    <n v="265"/>
    <n v="37"/>
    <n v="17"/>
    <n v="48"/>
    <n v="367"/>
    <n v="0.10929124478856463"/>
    <n v="0.89070875521143533"/>
    <n v="0"/>
    <n v="1"/>
    <n v="0.10929124478856463"/>
    <n v="8"/>
    <x v="0"/>
    <x v="7"/>
  </r>
  <r>
    <x v="3"/>
    <n v="146"/>
    <x v="1"/>
    <x v="3"/>
    <x v="8"/>
    <n v="3066"/>
    <n v="201"/>
    <n v="11"/>
    <n v="57"/>
    <n v="32"/>
    <n v="301"/>
    <n v="9.8173515981735154E-2"/>
    <n v="0.90182648401826482"/>
    <n v="0"/>
    <n v="1"/>
    <n v="9.8173515981735154E-2"/>
    <n v="9"/>
    <x v="0"/>
    <x v="8"/>
  </r>
  <r>
    <x v="3"/>
    <n v="146"/>
    <x v="1"/>
    <x v="3"/>
    <x v="9"/>
    <n v="3066"/>
    <n v="202"/>
    <n v="39"/>
    <n v="52"/>
    <n v="21"/>
    <n v="314"/>
    <n v="0.10241356816699282"/>
    <n v="0.89758643183300713"/>
    <n v="0"/>
    <n v="1"/>
    <n v="0.10241356816699282"/>
    <n v="10"/>
    <x v="0"/>
    <x v="9"/>
  </r>
  <r>
    <x v="3"/>
    <n v="146"/>
    <x v="1"/>
    <x v="3"/>
    <x v="10"/>
    <n v="3066"/>
    <n v="590"/>
    <n v="14"/>
    <n v="12"/>
    <n v="12"/>
    <n v="628"/>
    <n v="0.20482713633398564"/>
    <n v="0.79517286366601436"/>
    <n v="0"/>
    <n v="1"/>
    <n v="0.20482713633398564"/>
    <n v="11"/>
    <x v="0"/>
    <x v="10"/>
  </r>
  <r>
    <x v="3"/>
    <n v="146"/>
    <x v="1"/>
    <x v="3"/>
    <x v="11"/>
    <n v="3066"/>
    <n v="229"/>
    <n v="32"/>
    <n v="9"/>
    <n v="7"/>
    <n v="277"/>
    <n v="9.0345727332028697E-2"/>
    <n v="0.90965427266797128"/>
    <n v="0"/>
    <n v="1"/>
    <n v="9.0345727332028697E-2"/>
    <n v="12"/>
    <x v="0"/>
    <x v="11"/>
  </r>
  <r>
    <x v="3"/>
    <n v="283"/>
    <x v="1"/>
    <x v="21"/>
    <x v="0"/>
    <n v="8207"/>
    <n v="590"/>
    <n v="14"/>
    <n v="12"/>
    <n v="12"/>
    <n v="628"/>
    <n v="7.6520043864993295E-2"/>
    <n v="0.92347995613500666"/>
    <n v="0"/>
    <n v="1"/>
    <n v="7.6520043864993295E-2"/>
    <n v="1"/>
    <x v="1"/>
    <x v="12"/>
  </r>
  <r>
    <x v="3"/>
    <n v="283"/>
    <x v="1"/>
    <x v="21"/>
    <x v="1"/>
    <n v="8207"/>
    <n v="623"/>
    <n v="58"/>
    <n v="49"/>
    <n v="17"/>
    <n v="747"/>
    <n v="9.1019861094187887E-2"/>
    <n v="0.90898013890581209"/>
    <n v="0"/>
    <n v="1"/>
    <n v="9.1019861094187887E-2"/>
    <n v="2"/>
    <x v="1"/>
    <x v="13"/>
  </r>
  <r>
    <x v="3"/>
    <n v="283"/>
    <x v="1"/>
    <x v="22"/>
    <x v="2"/>
    <n v="8773"/>
    <n v="709"/>
    <n v="57"/>
    <n v="75"/>
    <n v="1"/>
    <n v="842"/>
    <n v="9.5976290892511112E-2"/>
    <n v="0.90402370910748886"/>
    <n v="0"/>
    <n v="1"/>
    <n v="9.5976290892511112E-2"/>
    <n v="3"/>
    <x v="1"/>
    <x v="14"/>
  </r>
  <r>
    <x v="3"/>
    <n v="283"/>
    <x v="1"/>
    <x v="23"/>
    <x v="3"/>
    <n v="8490"/>
    <n v="873"/>
    <n v="71"/>
    <n v="61"/>
    <n v="45"/>
    <n v="1050"/>
    <n v="0.12367491166077739"/>
    <n v="0.87632508833922262"/>
    <n v="0"/>
    <n v="1"/>
    <n v="0.12367491166077739"/>
    <n v="4"/>
    <x v="1"/>
    <x v="15"/>
  </r>
  <r>
    <x v="3"/>
    <n v="283"/>
    <x v="1"/>
    <x v="11"/>
    <x v="4"/>
    <n v="5377"/>
    <n v="567"/>
    <n v="30"/>
    <n v="12"/>
    <n v="2"/>
    <n v="611"/>
    <n v="0.11363213687930072"/>
    <n v="0.88636786312069926"/>
    <n v="0"/>
    <n v="1"/>
    <n v="0.11363213687930072"/>
    <n v="5"/>
    <x v="1"/>
    <x v="16"/>
  </r>
  <r>
    <x v="3"/>
    <n v="162"/>
    <x v="1"/>
    <x v="10"/>
    <x v="5"/>
    <n v="2430"/>
    <n v="220"/>
    <n v="59"/>
    <n v="12"/>
    <n v="0"/>
    <n v="291"/>
    <n v="0.11975308641975309"/>
    <n v="0.88024691358024687"/>
    <n v="0"/>
    <n v="1"/>
    <n v="0.11975308641975309"/>
    <n v="6"/>
    <x v="1"/>
    <x v="17"/>
  </r>
  <r>
    <x v="3"/>
    <n v="158"/>
    <x v="1"/>
    <x v="5"/>
    <x v="6"/>
    <n v="3634"/>
    <n v="119"/>
    <n v="86"/>
    <n v="18"/>
    <n v="0"/>
    <n v="223"/>
    <n v="6.1364887176664835E-2"/>
    <n v="0.93863511282333512"/>
    <n v="0"/>
    <n v="1"/>
    <n v="6.1364887176664835E-2"/>
    <n v="7"/>
    <x v="1"/>
    <x v="18"/>
  </r>
  <r>
    <x v="3"/>
    <n v="159"/>
    <x v="1"/>
    <x v="4"/>
    <x v="7"/>
    <n v="3498"/>
    <n v="145"/>
    <n v="124"/>
    <n v="11"/>
    <n v="11"/>
    <n v="291"/>
    <n v="8.3190394511149235E-2"/>
    <n v="0.91680960548885082"/>
    <n v="0"/>
    <n v="1"/>
    <n v="8.3190394511149235E-2"/>
    <n v="8"/>
    <x v="1"/>
    <x v="19"/>
  </r>
  <r>
    <x v="3"/>
    <n v="169"/>
    <x v="1"/>
    <x v="14"/>
    <x v="8"/>
    <n v="3380"/>
    <n v="105"/>
    <n v="100"/>
    <n v="43"/>
    <n v="21"/>
    <n v="269"/>
    <n v="7.9585798816568049E-2"/>
    <n v="0.92041420118343198"/>
    <n v="0"/>
    <n v="1"/>
    <n v="7.9585798816568049E-2"/>
    <n v="9"/>
    <x v="1"/>
    <x v="20"/>
  </r>
  <r>
    <x v="3"/>
    <n v="187"/>
    <x v="1"/>
    <x v="4"/>
    <x v="9"/>
    <n v="4114"/>
    <n v="182"/>
    <n v="84"/>
    <n v="79"/>
    <n v="19"/>
    <n v="364"/>
    <n v="8.8478366553232865E-2"/>
    <n v="0.91152163344676718"/>
    <n v="0"/>
    <n v="1"/>
    <n v="8.8478366553232865E-2"/>
    <n v="10"/>
    <x v="1"/>
    <x v="21"/>
  </r>
  <r>
    <x v="3"/>
    <n v="195"/>
    <x v="1"/>
    <x v="14"/>
    <x v="10"/>
    <n v="3900"/>
    <n v="195"/>
    <n v="48"/>
    <n v="24"/>
    <n v="62"/>
    <n v="329"/>
    <n v="8.4358974358974353E-2"/>
    <n v="0.91564102564102567"/>
    <n v="0"/>
    <n v="1"/>
    <n v="8.4358974358974353E-2"/>
    <n v="11"/>
    <x v="1"/>
    <x v="22"/>
  </r>
  <r>
    <x v="3"/>
    <n v="201"/>
    <x v="1"/>
    <x v="3"/>
    <x v="11"/>
    <n v="4221"/>
    <n v="84"/>
    <n v="12"/>
    <n v="65"/>
    <n v="101"/>
    <n v="262"/>
    <n v="6.207059938403222E-2"/>
    <n v="0.93792940061596775"/>
    <n v="0"/>
    <n v="1"/>
    <n v="6.207059938403222E-2"/>
    <n v="12"/>
    <x v="1"/>
    <x v="23"/>
  </r>
  <r>
    <x v="3"/>
    <n v="284"/>
    <x v="1"/>
    <x v="21"/>
    <x v="0"/>
    <n v="8236"/>
    <n v="391"/>
    <n v="48"/>
    <n v="66"/>
    <n v="28"/>
    <n v="533"/>
    <n v="6.4715881495871777E-2"/>
    <n v="0.93528411850412818"/>
    <n v="7.3400000000000007E-2"/>
    <n v="0.92659999999999998"/>
    <n v="-8.6841185041282298E-3"/>
    <n v="1"/>
    <x v="2"/>
    <x v="24"/>
  </r>
  <r>
    <x v="3"/>
    <n v="289"/>
    <x v="1"/>
    <x v="24"/>
    <x v="1"/>
    <n v="8092"/>
    <n v="529"/>
    <n v="57"/>
    <n v="66"/>
    <n v="34"/>
    <n v="686"/>
    <n v="8.4775086505190306E-2"/>
    <n v="0.91522491349480972"/>
    <n v="8.7400000000000005E-2"/>
    <n v="0.91259999999999997"/>
    <n v="-2.6249134948096997E-3"/>
    <n v="2"/>
    <x v="2"/>
    <x v="25"/>
  </r>
  <r>
    <x v="3"/>
    <n v="289"/>
    <x v="1"/>
    <x v="22"/>
    <x v="2"/>
    <n v="8959"/>
    <n v="485"/>
    <n v="176"/>
    <n v="58"/>
    <n v="0"/>
    <n v="719"/>
    <n v="8.0254492688916171E-2"/>
    <n v="0.91974550731108384"/>
    <n v="9.2100000000000001E-2"/>
    <n v="0.90790000000000004"/>
    <n v="-1.184550731108383E-2"/>
    <n v="3"/>
    <x v="2"/>
    <x v="26"/>
  </r>
  <r>
    <x v="3"/>
    <n v="289"/>
    <x v="1"/>
    <x v="0"/>
    <x v="3"/>
    <n v="7514"/>
    <n v="433"/>
    <n v="167"/>
    <n v="100"/>
    <n v="7"/>
    <n v="707"/>
    <n v="9.4091030077189247E-2"/>
    <n v="0.90590896992281078"/>
    <n v="0.1187"/>
    <n v="0.88129999999999997"/>
    <n v="-2.4608969922810753E-2"/>
    <n v="4"/>
    <x v="2"/>
    <x v="27"/>
  </r>
  <r>
    <x v="3"/>
    <n v="123"/>
    <x v="1"/>
    <x v="25"/>
    <x v="4"/>
    <n v="1107"/>
    <n v="47"/>
    <n v="8"/>
    <n v="8"/>
    <n v="0"/>
    <n v="63"/>
    <n v="5.6910569105691054E-2"/>
    <n v="0.94308943089430897"/>
    <n v="0.1091"/>
    <n v="0.89090000000000003"/>
    <n v="-5.2189430894308948E-2"/>
    <n v="5"/>
    <x v="2"/>
    <x v="28"/>
  </r>
  <r>
    <x v="3"/>
    <n v="147"/>
    <x v="1"/>
    <x v="3"/>
    <x v="5"/>
    <n v="3087"/>
    <n v="183"/>
    <n v="52"/>
    <n v="0"/>
    <n v="2"/>
    <n v="237"/>
    <n v="7.6773566569484933E-2"/>
    <n v="0.92322643343051503"/>
    <n v="0.1149"/>
    <n v="0.8851"/>
    <n v="-3.8126433430515069E-2"/>
    <n v="6"/>
    <x v="2"/>
    <x v="29"/>
  </r>
  <r>
    <x v="3"/>
    <n v="146"/>
    <x v="1"/>
    <x v="5"/>
    <x v="6"/>
    <n v="3358"/>
    <n v="263"/>
    <n v="75"/>
    <n v="12"/>
    <n v="2"/>
    <n v="352"/>
    <n v="0.10482430017867779"/>
    <n v="0.89517569982132217"/>
    <n v="5.8900000000000001E-2"/>
    <n v="0.94110000000000005"/>
    <n v="4.5924300178677789E-2"/>
    <n v="7"/>
    <x v="2"/>
    <x v="30"/>
  </r>
  <r>
    <x v="3"/>
    <n v="146"/>
    <x v="1"/>
    <x v="3"/>
    <x v="7"/>
    <n v="3066"/>
    <n v="190"/>
    <n v="45"/>
    <n v="52"/>
    <n v="0"/>
    <n v="287"/>
    <n v="9.3607305936073054E-2"/>
    <n v="0.90639269406392697"/>
    <n v="7.9799999999999996E-2"/>
    <n v="0.92020000000000002"/>
    <n v="1.3807305936073058E-2"/>
    <n v="8"/>
    <x v="2"/>
    <x v="31"/>
  </r>
  <r>
    <x v="3"/>
    <n v="146"/>
    <x v="1"/>
    <x v="3"/>
    <x v="8"/>
    <n v="3066"/>
    <n v="88"/>
    <n v="27"/>
    <n v="73"/>
    <n v="40"/>
    <n v="228"/>
    <n v="7.4363992172211346E-2"/>
    <n v="0.92563600782778865"/>
    <n v="7.6399999999999996E-2"/>
    <n v="0.92359999999999998"/>
    <n v="-2.0360078277886495E-3"/>
    <n v="9"/>
    <x v="2"/>
    <x v="32"/>
  </r>
  <r>
    <x v="3"/>
    <n v="146"/>
    <x v="1"/>
    <x v="5"/>
    <x v="9"/>
    <n v="3358"/>
    <n v="101"/>
    <n v="14"/>
    <n v="38"/>
    <n v="28"/>
    <n v="181"/>
    <n v="5.3901131625967838E-2"/>
    <n v="0.94609886837403212"/>
    <n v="8.4900000000000003E-2"/>
    <n v="0.91510000000000002"/>
    <n v="-3.0998868374032165E-2"/>
    <n v="10"/>
    <x v="2"/>
    <x v="33"/>
  </r>
  <r>
    <x v="3"/>
    <n v="146"/>
    <x v="1"/>
    <x v="11"/>
    <x v="10"/>
    <n v="2774"/>
    <n v="123"/>
    <n v="17"/>
    <n v="9"/>
    <n v="10"/>
    <n v="159"/>
    <n v="5.7317952415284784E-2"/>
    <n v="0.94268204758471519"/>
    <n v="6.4799999999999996E-2"/>
    <n v="0.93520000000000003"/>
    <n v="-7.4820475847152124E-3"/>
    <n v="11"/>
    <x v="2"/>
    <x v="34"/>
  </r>
  <r>
    <x v="3"/>
    <n v="121"/>
    <x v="0"/>
    <x v="11"/>
    <x v="10"/>
    <n v="2299"/>
    <n v="4"/>
    <n v="0"/>
    <n v="0"/>
    <n v="0"/>
    <n v="4"/>
    <n v="1.7398869073510222E-3"/>
    <n v="0.99826011309264895"/>
    <n v="6.4799999999999996E-2"/>
    <n v="0.93520000000000003"/>
    <n v="-6.3060113092648973E-2"/>
    <n v="11"/>
    <x v="2"/>
    <x v="34"/>
  </r>
  <r>
    <x v="3"/>
    <n v="147"/>
    <x v="1"/>
    <x v="3"/>
    <x v="11"/>
    <n v="3087"/>
    <n v="84"/>
    <n v="12"/>
    <n v="65"/>
    <n v="101"/>
    <n v="262"/>
    <n v="8.4872044055717522E-2"/>
    <n v="0.91512795594428242"/>
    <n v="5.96E-2"/>
    <n v="0.94040000000000001"/>
    <n v="2.5272044055717521E-2"/>
    <n v="12"/>
    <x v="2"/>
    <x v="35"/>
  </r>
  <r>
    <x v="3"/>
    <n v="179"/>
    <x v="0"/>
    <x v="3"/>
    <x v="11"/>
    <n v="3759"/>
    <n v="0"/>
    <n v="0"/>
    <n v="10"/>
    <n v="0"/>
    <n v="10"/>
    <n v="2.6602819898909284E-3"/>
    <n v="0.99733971801010912"/>
    <n v="5.96E-2"/>
    <n v="0.94040000000000001"/>
    <n v="-5.6939718010109074E-2"/>
    <n v="12"/>
    <x v="2"/>
    <x v="35"/>
  </r>
  <r>
    <x v="3"/>
    <n v="289"/>
    <x v="1"/>
    <x v="9"/>
    <x v="0"/>
    <n v="7803"/>
    <n v="248"/>
    <n v="43"/>
    <n v="41"/>
    <n v="31"/>
    <n v="363"/>
    <n v="4.6520569011918492E-2"/>
    <n v="0.95347943098808152"/>
    <n v="6.4500000000000002E-2"/>
    <n v="0.9355"/>
    <n v="-1.797943098808151E-2"/>
    <n v="1"/>
    <x v="3"/>
    <x v="36"/>
  </r>
  <r>
    <x v="3"/>
    <n v="143"/>
    <x v="0"/>
    <x v="9"/>
    <x v="0"/>
    <n v="3861"/>
    <n v="0"/>
    <n v="0"/>
    <n v="27"/>
    <n v="0"/>
    <n v="27"/>
    <n v="6.993006993006993E-3"/>
    <n v="0.99300699300699302"/>
    <n v="6.4500000000000002E-2"/>
    <n v="0.9355"/>
    <n v="-5.750699300699301E-2"/>
    <n v="1"/>
    <x v="3"/>
    <x v="36"/>
  </r>
  <r>
    <x v="3"/>
    <n v="289"/>
    <x v="1"/>
    <x v="5"/>
    <x v="1"/>
    <n v="6647"/>
    <n v="255"/>
    <n v="65"/>
    <n v="43"/>
    <n v="64"/>
    <n v="427"/>
    <n v="6.42395065443057E-2"/>
    <n v="0.93576049345569434"/>
    <n v="8.4599999999999995E-2"/>
    <n v="0.91539999999999999"/>
    <n v="-2.0360493455694295E-2"/>
    <n v="2"/>
    <x v="3"/>
    <x v="37"/>
  </r>
  <r>
    <x v="3"/>
    <n v="144"/>
    <x v="0"/>
    <x v="5"/>
    <x v="1"/>
    <n v="3312"/>
    <n v="4"/>
    <n v="0"/>
    <n v="23"/>
    <n v="20"/>
    <n v="47"/>
    <n v="1.4190821256038648E-2"/>
    <n v="0.98580917874396135"/>
    <n v="8.4599999999999995E-2"/>
    <n v="0.91539999999999999"/>
    <n v="-7.0409178743961354E-2"/>
    <n v="2"/>
    <x v="3"/>
    <x v="37"/>
  </r>
  <r>
    <x v="3"/>
    <n v="289"/>
    <x v="1"/>
    <x v="2"/>
    <x v="2"/>
    <n v="7225"/>
    <n v="310"/>
    <n v="111"/>
    <n v="79"/>
    <n v="38"/>
    <n v="538"/>
    <n v="7.4463667820069204E-2"/>
    <n v="0.92553633217993081"/>
    <n v="0.08"/>
    <n v="0.92"/>
    <n v="-5.5363321799307974E-3"/>
    <n v="3"/>
    <x v="3"/>
    <x v="38"/>
  </r>
  <r>
    <x v="3"/>
    <n v="145"/>
    <x v="0"/>
    <x v="2"/>
    <x v="2"/>
    <n v="3625"/>
    <n v="0"/>
    <n v="0"/>
    <n v="51"/>
    <n v="0"/>
    <n v="51"/>
    <n v="1.4068965517241379E-2"/>
    <n v="0.98593103448275865"/>
    <n v="0.08"/>
    <n v="0.92"/>
    <n v="-6.5931034482758624E-2"/>
    <n v="3"/>
    <x v="3"/>
    <x v="38"/>
  </r>
  <r>
    <x v="3"/>
    <n v="289"/>
    <x v="1"/>
    <x v="0"/>
    <x v="3"/>
    <n v="7514"/>
    <n v="255"/>
    <n v="142"/>
    <n v="22"/>
    <n v="58"/>
    <n v="477"/>
    <n v="6.3481501197764176E-2"/>
    <n v="0.93651849880223581"/>
    <n v="9.3799999999999994E-2"/>
    <n v="0.90620000000000001"/>
    <n v="-3.0318498802235819E-2"/>
    <n v="4"/>
    <x v="3"/>
    <x v="39"/>
  </r>
  <r>
    <x v="3"/>
    <n v="144"/>
    <x v="0"/>
    <x v="0"/>
    <x v="3"/>
    <n v="3744"/>
    <n v="0"/>
    <n v="2"/>
    <n v="26"/>
    <n v="26"/>
    <n v="54"/>
    <n v="1.4423076923076924E-2"/>
    <n v="0.98557692307692313"/>
    <n v="9.3799999999999994E-2"/>
    <n v="0.90620000000000001"/>
    <n v="-7.9376923076923067E-2"/>
    <n v="4"/>
    <x v="3"/>
    <x v="39"/>
  </r>
  <r>
    <x v="3"/>
    <m/>
    <x v="1"/>
    <x v="13"/>
    <x v="4"/>
    <m/>
    <m/>
    <m/>
    <m/>
    <m/>
    <m/>
    <m/>
    <m/>
    <n v="5.6800000000000003E-2"/>
    <n v="0.94320000000000004"/>
    <m/>
    <n v="5"/>
    <x v="3"/>
    <x v="40"/>
  </r>
  <r>
    <x v="3"/>
    <m/>
    <x v="0"/>
    <x v="13"/>
    <x v="4"/>
    <m/>
    <m/>
    <m/>
    <m/>
    <m/>
    <m/>
    <m/>
    <m/>
    <n v="5.6800000000000003E-2"/>
    <n v="0.94320000000000004"/>
    <m/>
    <n v="5"/>
    <x v="3"/>
    <x v="40"/>
  </r>
  <r>
    <x v="3"/>
    <m/>
    <x v="1"/>
    <x v="13"/>
    <x v="5"/>
    <m/>
    <m/>
    <m/>
    <m/>
    <m/>
    <m/>
    <m/>
    <m/>
    <n v="7.6600000000000001E-2"/>
    <n v="0.9234"/>
    <m/>
    <n v="6"/>
    <x v="3"/>
    <x v="41"/>
  </r>
  <r>
    <x v="3"/>
    <m/>
    <x v="0"/>
    <x v="13"/>
    <x v="5"/>
    <m/>
    <m/>
    <m/>
    <m/>
    <m/>
    <m/>
    <m/>
    <m/>
    <n v="7.6600000000000001E-2"/>
    <n v="0.9234"/>
    <m/>
    <n v="6"/>
    <x v="3"/>
    <x v="41"/>
  </r>
  <r>
    <x v="3"/>
    <m/>
    <x v="1"/>
    <x v="13"/>
    <x v="6"/>
    <m/>
    <m/>
    <m/>
    <m/>
    <m/>
    <m/>
    <m/>
    <m/>
    <n v="0.1046"/>
    <n v="0.89539999999999997"/>
    <m/>
    <n v="7"/>
    <x v="3"/>
    <x v="42"/>
  </r>
  <r>
    <x v="3"/>
    <m/>
    <x v="0"/>
    <x v="13"/>
    <x v="6"/>
    <m/>
    <m/>
    <m/>
    <m/>
    <m/>
    <m/>
    <m/>
    <m/>
    <n v="0.1046"/>
    <n v="0.89539999999999997"/>
    <m/>
    <n v="7"/>
    <x v="3"/>
    <x v="42"/>
  </r>
  <r>
    <x v="3"/>
    <m/>
    <x v="1"/>
    <x v="13"/>
    <x v="7"/>
    <m/>
    <m/>
    <m/>
    <m/>
    <m/>
    <m/>
    <m/>
    <m/>
    <n v="9.3399999999999997E-2"/>
    <n v="0.90659999999999996"/>
    <m/>
    <n v="8"/>
    <x v="3"/>
    <x v="43"/>
  </r>
  <r>
    <x v="3"/>
    <m/>
    <x v="0"/>
    <x v="13"/>
    <x v="7"/>
    <m/>
    <m/>
    <m/>
    <m/>
    <m/>
    <m/>
    <m/>
    <m/>
    <n v="9.3399999999999997E-2"/>
    <n v="0.90659999999999996"/>
    <m/>
    <n v="8"/>
    <x v="3"/>
    <x v="43"/>
  </r>
  <r>
    <x v="3"/>
    <m/>
    <x v="1"/>
    <x v="13"/>
    <x v="8"/>
    <m/>
    <m/>
    <m/>
    <m/>
    <m/>
    <m/>
    <m/>
    <m/>
    <n v="7.4200000000000002E-2"/>
    <n v="0.92579999999999996"/>
    <m/>
    <n v="9"/>
    <x v="3"/>
    <x v="44"/>
  </r>
  <r>
    <x v="3"/>
    <m/>
    <x v="0"/>
    <x v="13"/>
    <x v="8"/>
    <m/>
    <m/>
    <m/>
    <m/>
    <m/>
    <m/>
    <m/>
    <m/>
    <n v="7.4200000000000002E-2"/>
    <n v="0.92579999999999996"/>
    <m/>
    <n v="9"/>
    <x v="3"/>
    <x v="44"/>
  </r>
  <r>
    <x v="3"/>
    <m/>
    <x v="1"/>
    <x v="13"/>
    <x v="9"/>
    <m/>
    <m/>
    <m/>
    <m/>
    <m/>
    <m/>
    <m/>
    <m/>
    <n v="5.3800000000000001E-2"/>
    <n v="0.94620000000000004"/>
    <m/>
    <n v="10"/>
    <x v="3"/>
    <x v="45"/>
  </r>
  <r>
    <x v="3"/>
    <m/>
    <x v="0"/>
    <x v="13"/>
    <x v="9"/>
    <m/>
    <m/>
    <m/>
    <m/>
    <m/>
    <m/>
    <m/>
    <m/>
    <n v="5.3800000000000001E-2"/>
    <n v="0.94620000000000004"/>
    <m/>
    <n v="10"/>
    <x v="3"/>
    <x v="45"/>
  </r>
  <r>
    <x v="3"/>
    <m/>
    <x v="1"/>
    <x v="13"/>
    <x v="10"/>
    <m/>
    <m/>
    <m/>
    <m/>
    <m/>
    <m/>
    <m/>
    <m/>
    <n v="5.7200000000000001E-2"/>
    <n v="0.94279999999999997"/>
    <m/>
    <n v="11"/>
    <x v="3"/>
    <x v="46"/>
  </r>
  <r>
    <x v="3"/>
    <m/>
    <x v="0"/>
    <x v="13"/>
    <x v="10"/>
    <m/>
    <m/>
    <m/>
    <m/>
    <m/>
    <m/>
    <m/>
    <m/>
    <n v="5.7200000000000001E-2"/>
    <n v="0.94279999999999997"/>
    <m/>
    <n v="11"/>
    <x v="3"/>
    <x v="46"/>
  </r>
  <r>
    <x v="3"/>
    <m/>
    <x v="1"/>
    <x v="13"/>
    <x v="11"/>
    <m/>
    <m/>
    <m/>
    <m/>
    <m/>
    <m/>
    <m/>
    <m/>
    <n v="8.4699999999999998E-2"/>
    <n v="0.9153"/>
    <m/>
    <n v="12"/>
    <x v="3"/>
    <x v="47"/>
  </r>
  <r>
    <x v="3"/>
    <m/>
    <x v="0"/>
    <x v="13"/>
    <x v="11"/>
    <m/>
    <m/>
    <m/>
    <m/>
    <m/>
    <m/>
    <m/>
    <m/>
    <n v="8.4699999999999998E-2"/>
    <n v="0.9153"/>
    <m/>
    <n v="12"/>
    <x v="3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07191-0E5F-4E8D-85A8-5846D11B1F23}" name="TablaDinámica6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G2:AK7" firstHeaderRow="0" firstDataRow="1" firstDataCol="1"/>
  <pivotFields count="19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4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FI" fld="6" baseField="0" baseItem="0"/>
    <dataField name="Suma de PSG" fld="7" baseField="0" baseItem="0"/>
    <dataField name="Suma de EG" fld="8" baseField="0" baseItem="0"/>
    <dataField name="Suma de RT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5AB903-C77F-4AAB-996B-A5B18AA6EA46}" name="TablaDinámica5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2:AE4" firstHeaderRow="0" firstDataRow="1" firstDataCol="1"/>
  <pivotFields count="19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0"/>
        <item h="1" x="1"/>
        <item h="1" x="2"/>
        <item x="3"/>
        <item t="default"/>
      </items>
    </pivotField>
    <pivotField numFmtId="14" showAll="0"/>
  </pivotFields>
  <rowFields count="1">
    <field x="17"/>
  </rowFields>
  <rowItems count="2"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 de FI" fld="6" baseField="0" baseItem="0"/>
    <dataField name="Suma de PSG" fld="7" baseField="0" baseItem="0"/>
    <dataField name="Suma de EG" fld="8" baseField="0" baseItem="0"/>
    <dataField name="Suma de RT" fld="9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D5655B-64B0-4385-B5FF-A65C56614567}" name="TablaDinámica4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2:Y7" firstHeaderRow="1" firstDataRow="1" firstDataCol="1"/>
  <pivotFields count="19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>
      <items count="13">
        <item h="1" x="0"/>
        <item h="1" x="1"/>
        <item h="1" x="2"/>
        <item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numFmtId="14"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Promedio de REAL AUSENT." fld="11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B4A2F-B992-4ADA-AE6A-5761BFB401FA}" name="TablaDinámica3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T2:V15" firstHeaderRow="0" firstDataRow="1" firstDataCol="1"/>
  <pivotFields count="19">
    <pivotField showAll="0">
      <items count="5">
        <item x="0"/>
        <item x="1"/>
        <item x="2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numFmtId="14" showAll="0"/>
  </pivotFields>
  <rowFields count="1"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Promedio de PLAN COMPR." fld="14" subtotal="average" baseField="0" baseItem="0" numFmtId="10"/>
    <dataField name="Promedio de REAL COMPR." fld="12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C1F99-A6B0-47FE-8489-F90C6531B2ED}" name="TablaDinámica2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P2:R55" firstHeaderRow="1" firstDataRow="1" firstDataCol="2"/>
  <pivotFields count="19">
    <pivotField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5">
        <item x="0"/>
        <item x="1"/>
        <item x="2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7"/>
    <field x="4"/>
  </rowFields>
  <rowItems count="5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rowItems>
  <colItems count="1">
    <i/>
  </colItems>
  <dataFields count="1">
    <dataField name="Promedio de REAL AUSENT." fld="11" subtotal="average" baseField="0" baseItem="0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F0D727-0018-4E8B-8663-13E86828CE20}" name="TablaDinámica1" cacheId="37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B2:N3" firstHeaderRow="0" firstDataRow="1" firstDataCol="0"/>
  <pivotFields count="19">
    <pivotField showAll="0">
      <items count="5">
        <item x="0"/>
        <item x="1"/>
        <item x="2"/>
        <item x="3"/>
        <item t="default"/>
      </items>
    </pivotField>
    <pivotField dataField="1" showAll="0"/>
    <pivotField showAll="0">
      <items count="3">
        <item x="0"/>
        <item x="1"/>
        <item t="default"/>
      </items>
    </pivotField>
    <pivotField dataField="1"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5">
        <item h="1" x="0"/>
        <item h="1" x="1"/>
        <item h="1" x="2"/>
        <item x="3"/>
        <item t="default"/>
      </items>
    </pivotField>
    <pivotField numFmtId="14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</pivotFields>
  <rowItems count="1">
    <i/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Suma de Plantilla" fld="1" baseField="0" baseItem="0"/>
    <dataField name="Suma de Días laborables_x000a_ del mes" fld="3" baseField="0" baseItem="0"/>
    <dataField name="Suma de Jornales" fld="5" baseField="0" baseItem="0"/>
    <dataField name="Suma de FI" fld="6" baseField="0" baseItem="0"/>
    <dataField name="Suma de PSG" fld="7" baseField="0" baseItem="0"/>
    <dataField name="Suma de EG" fld="8" baseField="0" baseItem="0"/>
    <dataField name="Suma de RT" fld="9" baseField="0" baseItem="0"/>
    <dataField name="Suma de Ausencias" fld="10" baseField="0" baseItem="0"/>
    <dataField name="Promedio de REAL AUSENT." fld="11" subtotal="average" baseField="0" baseItem="8" numFmtId="10"/>
    <dataField name="Promedio de REAL COMPR." fld="12" subtotal="average" baseField="0" baseItem="8" numFmtId="10"/>
    <dataField name="Promedio de PLAN " fld="13" subtotal="average" baseField="0" baseItem="10" numFmtId="10"/>
    <dataField name="Promedio de PLAN COMPR." fld="14" subtotal="average" baseField="0" baseItem="1" numFmtId="10"/>
    <dataField name="Promedio de DIF +/-" fld="15" subtotal="average" baseField="0" baseItem="1" numFmtId="1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9CBC948-503B-426F-BD89-2C07DDE03D67}" autoFormatId="16" applyNumberFormats="0" applyBorderFormats="0" applyFontFormats="0" applyPatternFormats="0" applyAlignmentFormats="0" applyWidthHeightFormats="0">
  <queryTableRefresh nextId="20">
    <queryTableFields count="19">
      <queryTableField id="1" name="Ingenio" tableColumnId="1"/>
      <queryTableField id="2" name="Plantilla" tableColumnId="2"/>
      <queryTableField id="3" name="Sind/No sind" tableColumnId="3"/>
      <queryTableField id="4" name="Días laborables_x000a_ del mes" tableColumnId="4"/>
      <queryTableField id="5" name="Mes" tableColumnId="5"/>
      <queryTableField id="6" name="Jornales" tableColumnId="6"/>
      <queryTableField id="7" name="FI" tableColumnId="7"/>
      <queryTableField id="8" name="PSG" tableColumnId="8"/>
      <queryTableField id="9" name="EG" tableColumnId="9"/>
      <queryTableField id="10" name="RT" tableColumnId="10"/>
      <queryTableField id="11" name="Ausencias" tableColumnId="11"/>
      <queryTableField id="12" name="REAL AUSENT." tableColumnId="12"/>
      <queryTableField id="13" name="REAL COMPR." tableColumnId="13"/>
      <queryTableField id="14" name="PLAN _x000a_AUSENT." tableColumnId="14"/>
      <queryTableField id="15" name="PLAN COMPR." tableColumnId="15"/>
      <queryTableField id="16" name="DIF +/-" tableColumnId="16"/>
      <queryTableField id="17" name="Orden" tableColumnId="17"/>
      <queryTableField id="18" name="Año" tableColumnId="18"/>
      <queryTableField id="19" name="ID" tableColumnId="1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ngenio" xr10:uid="{05AE9DC4-D3B1-472E-997F-927328F9673D}" sourceName="Ingenio">
  <pivotTables>
    <pivotTable tabId="5" name="TablaDinámica1"/>
    <pivotTable tabId="5" name="TablaDinámica2"/>
    <pivotTable tabId="5" name="TablaDinámica3"/>
    <pivotTable tabId="5" name="TablaDinámica4"/>
    <pivotTable tabId="5" name="TablaDinámica5"/>
    <pivotTable tabId="5" name="TablaDinámica6"/>
  </pivotTables>
  <data>
    <tabular pivotCacheId="1067554055">
      <items count="4">
        <i x="0" s="1"/>
        <i x="1" s="1"/>
        <i x="2" s="1"/>
        <i x="3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ind_No_sind" xr10:uid="{A14BA7C2-13D5-441F-934F-9891CD4CEA35}" sourceName="Sind/No sind">
  <pivotTables>
    <pivotTable tabId="5" name="TablaDinámica1"/>
    <pivotTable tabId="5" name="TablaDinámica2"/>
    <pivotTable tabId="5" name="TablaDinámica3"/>
    <pivotTable tabId="5" name="TablaDinámica4"/>
    <pivotTable tabId="5" name="TablaDinámica5"/>
    <pivotTable tabId="5" name="TablaDinámica6"/>
  </pivotTables>
  <data>
    <tabular pivotCacheId="1067554055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89C45960-AD27-4880-83AB-CDD9B8DFC28D}" sourceName="Mes">
  <pivotTables>
    <pivotTable tabId="5" name="TablaDinámica1"/>
    <pivotTable tabId="5" name="TablaDinámica5"/>
  </pivotTables>
  <data>
    <tabular pivotCacheId="1067554055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422F6C7-AE61-4910-A66A-25E6BC1F5749}" sourceName="Año">
  <pivotTables>
    <pivotTable tabId="5" name="TablaDinámica1"/>
    <pivotTable tabId="5" name="TablaDinámica3"/>
    <pivotTable tabId="5" name="TablaDinámica5"/>
  </pivotTables>
  <data>
    <tabular pivotCacheId="1067554055">
      <items count="4">
        <i x="0"/>
        <i x="1"/>
        <i x="2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Ingenio" xr10:uid="{B8A956F3-256B-4206-A81F-459274946C59}" cache="SegmentaciónDeDatos_Ingenio" style="Estilo de segmentación de datos 1" rowHeight="234950"/>
  <slicer name="Sind/No sind" xr10:uid="{79C4759A-B9F3-44F5-AB08-DEF9CE0C491E}" cache="SegmentaciónDeDatos_Sind_No_sind" style="Estilo de segmentación de datos 2" rowHeight="234950"/>
  <slicer name="Mes" xr10:uid="{2D1C0156-15A9-4EC9-B14F-2EED1E08AA66}" cache="SegmentaciónDeDatos_Mes" style="Estilo de segmentación de datos 1" rowHeight="234950"/>
  <slicer name="Año" xr10:uid="{235D6BAA-A9C8-407A-B588-3451CCBDC810}" cache="SegmentaciónDeDatos_Año" startItem="2" style="Estilo de segmentación de datos 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85FE02-858B-4D1F-AB29-A9C39B234E41}" name="Ausentismos" displayName="Ausentismos" ref="A1:S385" tableType="queryTable" totalsRowShown="0">
  <autoFilter ref="A1:S385" xr:uid="{1885FE02-858B-4D1F-AB29-A9C39B234E41}"/>
  <tableColumns count="19">
    <tableColumn id="1" xr3:uid="{305CBEEB-B02F-4A32-9434-C96AEE2D17D3}" uniqueName="1" name="Ingenio" queryTableFieldId="1" dataDxfId="3"/>
    <tableColumn id="2" xr3:uid="{EDC91CE4-5B13-4409-AF59-DAADC8581747}" uniqueName="2" name="Plantilla" queryTableFieldId="2"/>
    <tableColumn id="3" xr3:uid="{98E5D5CF-F1A3-4C51-88AF-A98F0E9CFCF2}" uniqueName="3" name="Sind/No sind" queryTableFieldId="3" dataDxfId="2"/>
    <tableColumn id="4" xr3:uid="{BDD1DF76-F60E-44EC-BA75-5ED086C18FB0}" uniqueName="4" name="Días laborables_x000a_ del mes" queryTableFieldId="4"/>
    <tableColumn id="5" xr3:uid="{30CCFFA4-002A-4872-B530-282F2D18B511}" uniqueName="5" name="Mes" queryTableFieldId="5" dataDxfId="1"/>
    <tableColumn id="6" xr3:uid="{F0ECA1D7-CEFA-4F5B-B0FB-9D07A9221F9B}" uniqueName="6" name="Jornales" queryTableFieldId="6"/>
    <tableColumn id="7" xr3:uid="{30E3ADE9-3835-4705-86AF-FA2009BD3ACC}" uniqueName="7" name="FI" queryTableFieldId="7"/>
    <tableColumn id="8" xr3:uid="{B012BC29-B85B-43CF-BFD9-46DE731284C8}" uniqueName="8" name="PSG" queryTableFieldId="8"/>
    <tableColumn id="9" xr3:uid="{40FE57F4-322B-4748-948D-B5A88CADF21B}" uniqueName="9" name="EG" queryTableFieldId="9"/>
    <tableColumn id="10" xr3:uid="{2096CE46-9B16-4933-9B3E-D812FB76960B}" uniqueName="10" name="RT" queryTableFieldId="10"/>
    <tableColumn id="11" xr3:uid="{0E056451-1405-4613-BF43-007010F02853}" uniqueName="11" name="Ausencias" queryTableFieldId="11"/>
    <tableColumn id="12" xr3:uid="{72670D29-49DE-4877-919C-734FD200B307}" uniqueName="12" name="REAL AUSENT." queryTableFieldId="12"/>
    <tableColumn id="13" xr3:uid="{9B2981FA-D28A-4335-B45D-3E08EAA98094}" uniqueName="13" name="REAL COMPR." queryTableFieldId="13"/>
    <tableColumn id="14" xr3:uid="{B90845FC-F0E9-4CBF-A752-5E5C9D278C02}" uniqueName="14" name="PLAN _x000a_AUSENT." queryTableFieldId="14"/>
    <tableColumn id="15" xr3:uid="{6AA14552-AC38-4D11-9761-0F370512BEC5}" uniqueName="15" name="PLAN COMPR." queryTableFieldId="15"/>
    <tableColumn id="16" xr3:uid="{A4711CA1-E5FA-4AB8-9FB9-82E4FD4F1C4C}" uniqueName="16" name="DIF +/-" queryTableFieldId="16"/>
    <tableColumn id="17" xr3:uid="{8EBA41E8-27E1-4783-BB83-F3D3E91D165D}" uniqueName="17" name="Orden" queryTableFieldId="17"/>
    <tableColumn id="18" xr3:uid="{45E752AB-EA1D-4AB6-8A36-ED16C6B1AE74}" uniqueName="18" name="Año" queryTableFieldId="18"/>
    <tableColumn id="19" xr3:uid="{4C61E07A-1E52-43FE-8FFC-3B2A114355A3}" uniqueName="19" name="ID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66885-1B77-4A26-9E2F-1218905729CC}">
  <dimension ref="A1:S385"/>
  <sheetViews>
    <sheetView topLeftCell="A2" workbookViewId="0">
      <selection activeCell="C5" sqref="C5"/>
    </sheetView>
  </sheetViews>
  <sheetFormatPr baseColWidth="10" defaultRowHeight="14.4" x14ac:dyDescent="0.3"/>
  <cols>
    <col min="1" max="1" width="10.21875" bestFit="1" customWidth="1"/>
    <col min="2" max="2" width="9.88671875" bestFit="1" customWidth="1"/>
    <col min="3" max="3" width="25.21875" bestFit="1" customWidth="1"/>
    <col min="4" max="4" width="22.77734375" bestFit="1" customWidth="1"/>
    <col min="5" max="5" width="10.21875" bestFit="1" customWidth="1"/>
    <col min="6" max="6" width="10" bestFit="1" customWidth="1"/>
    <col min="7" max="7" width="5" bestFit="1" customWidth="1"/>
    <col min="8" max="8" width="6.5546875" bestFit="1" customWidth="1"/>
    <col min="9" max="9" width="5.44140625" bestFit="1" customWidth="1"/>
    <col min="10" max="10" width="5.33203125" bestFit="1" customWidth="1"/>
    <col min="12" max="12" width="15.33203125" bestFit="1" customWidth="1"/>
    <col min="13" max="13" width="14.88671875" bestFit="1" customWidth="1"/>
    <col min="14" max="14" width="16.6640625" bestFit="1" customWidth="1"/>
    <col min="15" max="15" width="15.21875" bestFit="1" customWidth="1"/>
    <col min="16" max="16" width="12.6640625" bestFit="1" customWidth="1"/>
    <col min="17" max="17" width="8.44140625" bestFit="1" customWidth="1"/>
    <col min="18" max="18" width="6.6640625" bestFit="1" customWidth="1"/>
    <col min="19" max="19" width="10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175</v>
      </c>
      <c r="C2" t="s">
        <v>20</v>
      </c>
      <c r="D2">
        <v>26</v>
      </c>
      <c r="E2" t="s">
        <v>21</v>
      </c>
      <c r="F2">
        <v>4550</v>
      </c>
      <c r="G2">
        <v>0</v>
      </c>
      <c r="H2">
        <v>0</v>
      </c>
      <c r="I2">
        <v>2</v>
      </c>
      <c r="J2">
        <v>0</v>
      </c>
      <c r="K2">
        <v>2</v>
      </c>
      <c r="L2">
        <v>4.3956043956043956E-4</v>
      </c>
      <c r="M2">
        <v>0.99956043956043961</v>
      </c>
      <c r="N2">
        <v>0</v>
      </c>
      <c r="O2">
        <v>1</v>
      </c>
      <c r="P2">
        <v>4.3956043956043956E-4</v>
      </c>
      <c r="Q2">
        <v>1</v>
      </c>
      <c r="R2">
        <v>2023</v>
      </c>
      <c r="S2" s="1">
        <v>44927</v>
      </c>
    </row>
    <row r="3" spans="1:19" x14ac:dyDescent="0.3">
      <c r="A3" t="s">
        <v>19</v>
      </c>
      <c r="B3">
        <v>195</v>
      </c>
      <c r="C3" t="s">
        <v>20</v>
      </c>
      <c r="D3">
        <v>24</v>
      </c>
      <c r="E3" t="s">
        <v>22</v>
      </c>
      <c r="F3">
        <v>4680</v>
      </c>
      <c r="G3">
        <v>0</v>
      </c>
      <c r="H3">
        <v>0</v>
      </c>
      <c r="I3">
        <v>23</v>
      </c>
      <c r="J3">
        <v>0</v>
      </c>
      <c r="K3">
        <v>23</v>
      </c>
      <c r="L3">
        <v>4.9145299145299144E-3</v>
      </c>
      <c r="M3">
        <v>0.9950854700854701</v>
      </c>
      <c r="N3">
        <v>0</v>
      </c>
      <c r="O3">
        <v>1</v>
      </c>
      <c r="P3">
        <v>4.9145299145299144E-3</v>
      </c>
      <c r="Q3">
        <v>2</v>
      </c>
      <c r="R3">
        <v>2023</v>
      </c>
      <c r="S3" s="1">
        <v>44958</v>
      </c>
    </row>
    <row r="4" spans="1:19" x14ac:dyDescent="0.3">
      <c r="A4" t="s">
        <v>19</v>
      </c>
      <c r="B4">
        <v>195</v>
      </c>
      <c r="C4" t="s">
        <v>20</v>
      </c>
      <c r="D4">
        <v>26</v>
      </c>
      <c r="E4" t="s">
        <v>23</v>
      </c>
      <c r="F4">
        <v>5070</v>
      </c>
      <c r="G4">
        <v>0</v>
      </c>
      <c r="H4">
        <v>0</v>
      </c>
      <c r="I4">
        <v>0</v>
      </c>
      <c r="J4">
        <v>5</v>
      </c>
      <c r="K4">
        <v>5</v>
      </c>
      <c r="L4">
        <v>9.8619329388560163E-4</v>
      </c>
      <c r="M4">
        <v>0.99901380670611439</v>
      </c>
      <c r="N4">
        <v>0</v>
      </c>
      <c r="O4">
        <v>1</v>
      </c>
      <c r="P4">
        <v>9.8619329388560163E-4</v>
      </c>
      <c r="Q4">
        <v>3</v>
      </c>
      <c r="R4">
        <v>2023</v>
      </c>
      <c r="S4" s="1">
        <v>44986</v>
      </c>
    </row>
    <row r="5" spans="1:19" x14ac:dyDescent="0.3">
      <c r="A5" t="s">
        <v>19</v>
      </c>
      <c r="B5">
        <v>195</v>
      </c>
      <c r="C5" t="s">
        <v>20</v>
      </c>
      <c r="D5">
        <v>25</v>
      </c>
      <c r="E5" t="s">
        <v>24</v>
      </c>
      <c r="F5">
        <v>4875</v>
      </c>
      <c r="G5">
        <v>0</v>
      </c>
      <c r="H5">
        <v>6</v>
      </c>
      <c r="I5">
        <v>0</v>
      </c>
      <c r="J5">
        <v>19</v>
      </c>
      <c r="K5">
        <v>25</v>
      </c>
      <c r="L5">
        <v>5.1282051282051282E-3</v>
      </c>
      <c r="M5">
        <v>0.99487179487179489</v>
      </c>
      <c r="N5">
        <v>0</v>
      </c>
      <c r="O5">
        <v>1</v>
      </c>
      <c r="P5">
        <v>5.1282051282051282E-3</v>
      </c>
      <c r="Q5">
        <v>4</v>
      </c>
      <c r="R5">
        <v>2023</v>
      </c>
      <c r="S5" s="1">
        <v>45017</v>
      </c>
    </row>
    <row r="6" spans="1:19" x14ac:dyDescent="0.3">
      <c r="A6" t="s">
        <v>19</v>
      </c>
      <c r="B6">
        <v>195</v>
      </c>
      <c r="C6" t="s">
        <v>20</v>
      </c>
      <c r="D6">
        <v>21</v>
      </c>
      <c r="E6" t="s">
        <v>25</v>
      </c>
      <c r="F6">
        <v>4095</v>
      </c>
      <c r="G6">
        <v>0</v>
      </c>
      <c r="H6">
        <v>0</v>
      </c>
      <c r="I6">
        <v>0</v>
      </c>
      <c r="J6">
        <v>36</v>
      </c>
      <c r="K6">
        <v>36</v>
      </c>
      <c r="L6">
        <v>8.7912087912087912E-3</v>
      </c>
      <c r="M6">
        <v>0.99120879120879124</v>
      </c>
      <c r="N6">
        <v>0</v>
      </c>
      <c r="O6">
        <v>1</v>
      </c>
      <c r="P6">
        <v>8.7912087912087912E-3</v>
      </c>
      <c r="Q6">
        <v>5</v>
      </c>
      <c r="R6">
        <v>2023</v>
      </c>
      <c r="S6" s="1">
        <v>45047</v>
      </c>
    </row>
    <row r="7" spans="1:19" x14ac:dyDescent="0.3">
      <c r="A7" t="s">
        <v>19</v>
      </c>
      <c r="B7">
        <v>137</v>
      </c>
      <c r="C7" t="s">
        <v>20</v>
      </c>
      <c r="D7">
        <v>22</v>
      </c>
      <c r="E7" t="s">
        <v>26</v>
      </c>
      <c r="F7">
        <v>3014</v>
      </c>
      <c r="G7">
        <v>0</v>
      </c>
      <c r="H7">
        <v>0</v>
      </c>
      <c r="I7">
        <v>10</v>
      </c>
      <c r="J7">
        <v>0</v>
      </c>
      <c r="K7">
        <v>10</v>
      </c>
      <c r="L7">
        <v>3.3178500331785005E-3</v>
      </c>
      <c r="M7">
        <v>0.99668214996682147</v>
      </c>
      <c r="N7">
        <v>0</v>
      </c>
      <c r="O7">
        <v>1</v>
      </c>
      <c r="P7">
        <v>3.3178500331785005E-3</v>
      </c>
      <c r="Q7">
        <v>6</v>
      </c>
      <c r="R7">
        <v>2023</v>
      </c>
      <c r="S7" s="1">
        <v>45078</v>
      </c>
    </row>
    <row r="8" spans="1:19" x14ac:dyDescent="0.3">
      <c r="A8" t="s">
        <v>19</v>
      </c>
      <c r="B8">
        <v>137</v>
      </c>
      <c r="C8" t="s">
        <v>20</v>
      </c>
      <c r="D8">
        <v>21</v>
      </c>
      <c r="E8" t="s">
        <v>27</v>
      </c>
      <c r="F8">
        <v>2877</v>
      </c>
      <c r="G8">
        <v>0</v>
      </c>
      <c r="H8">
        <v>3</v>
      </c>
      <c r="I8">
        <v>0</v>
      </c>
      <c r="J8">
        <v>0</v>
      </c>
      <c r="K8">
        <v>3</v>
      </c>
      <c r="L8">
        <v>1.0427528675703858E-3</v>
      </c>
      <c r="M8">
        <v>0.99895724713242962</v>
      </c>
      <c r="N8">
        <v>0</v>
      </c>
      <c r="O8">
        <v>1</v>
      </c>
      <c r="P8">
        <v>1.0427528675703858E-3</v>
      </c>
      <c r="Q8">
        <v>7</v>
      </c>
      <c r="R8">
        <v>2023</v>
      </c>
      <c r="S8" s="1">
        <v>45108</v>
      </c>
    </row>
    <row r="9" spans="1:19" x14ac:dyDescent="0.3">
      <c r="A9" t="s">
        <v>19</v>
      </c>
      <c r="B9">
        <v>135</v>
      </c>
      <c r="C9" t="s">
        <v>20</v>
      </c>
      <c r="D9">
        <v>23</v>
      </c>
      <c r="E9" t="s">
        <v>28</v>
      </c>
      <c r="F9">
        <v>3105</v>
      </c>
      <c r="G9">
        <v>0</v>
      </c>
      <c r="H9">
        <v>0</v>
      </c>
      <c r="I9">
        <v>22</v>
      </c>
      <c r="J9">
        <v>0</v>
      </c>
      <c r="K9">
        <v>22</v>
      </c>
      <c r="L9">
        <v>7.0853462157809983E-3</v>
      </c>
      <c r="M9">
        <v>0.99291465378421895</v>
      </c>
      <c r="N9">
        <v>0</v>
      </c>
      <c r="O9">
        <v>1</v>
      </c>
      <c r="P9">
        <v>7.0853462157809983E-3</v>
      </c>
      <c r="Q9">
        <v>8</v>
      </c>
      <c r="R9">
        <v>2023</v>
      </c>
      <c r="S9" s="1">
        <v>45139</v>
      </c>
    </row>
    <row r="10" spans="1:19" x14ac:dyDescent="0.3">
      <c r="A10" t="s">
        <v>19</v>
      </c>
      <c r="B10">
        <v>137</v>
      </c>
      <c r="C10" t="s">
        <v>20</v>
      </c>
      <c r="D10">
        <v>21</v>
      </c>
      <c r="E10" t="s">
        <v>29</v>
      </c>
      <c r="F10">
        <v>2877</v>
      </c>
      <c r="G10">
        <v>1</v>
      </c>
      <c r="H10">
        <v>0</v>
      </c>
      <c r="I10">
        <v>12</v>
      </c>
      <c r="J10">
        <v>0</v>
      </c>
      <c r="K10">
        <v>13</v>
      </c>
      <c r="L10">
        <v>4.5185957594716716E-3</v>
      </c>
      <c r="M10">
        <v>0.99548140424052833</v>
      </c>
      <c r="N10">
        <v>0</v>
      </c>
      <c r="O10">
        <v>1</v>
      </c>
      <c r="P10">
        <v>4.5185957594716716E-3</v>
      </c>
      <c r="Q10">
        <v>9</v>
      </c>
      <c r="R10">
        <v>2023</v>
      </c>
      <c r="S10" s="1">
        <v>45170</v>
      </c>
    </row>
    <row r="11" spans="1:19" x14ac:dyDescent="0.3">
      <c r="A11" t="s">
        <v>19</v>
      </c>
      <c r="B11">
        <v>143</v>
      </c>
      <c r="C11" t="s">
        <v>20</v>
      </c>
      <c r="D11">
        <v>22</v>
      </c>
      <c r="E11" t="s">
        <v>30</v>
      </c>
      <c r="F11">
        <v>3146</v>
      </c>
      <c r="G11">
        <v>0</v>
      </c>
      <c r="H11">
        <v>5</v>
      </c>
      <c r="I11">
        <v>0</v>
      </c>
      <c r="J11">
        <v>0</v>
      </c>
      <c r="K11">
        <v>5</v>
      </c>
      <c r="L11">
        <v>1.589319771137953E-3</v>
      </c>
      <c r="M11">
        <v>0.99841068022886204</v>
      </c>
      <c r="N11">
        <v>0</v>
      </c>
      <c r="O11">
        <v>1</v>
      </c>
      <c r="P11">
        <v>1.589319771137953E-3</v>
      </c>
      <c r="Q11">
        <v>10</v>
      </c>
      <c r="R11">
        <v>2023</v>
      </c>
      <c r="S11" s="1">
        <v>45200</v>
      </c>
    </row>
    <row r="12" spans="1:19" x14ac:dyDescent="0.3">
      <c r="A12" t="s">
        <v>19</v>
      </c>
      <c r="B12">
        <v>192</v>
      </c>
      <c r="C12" t="s">
        <v>20</v>
      </c>
      <c r="D12">
        <v>14</v>
      </c>
      <c r="E12" t="s">
        <v>31</v>
      </c>
      <c r="F12">
        <v>2688</v>
      </c>
      <c r="G12">
        <v>0</v>
      </c>
      <c r="H12">
        <v>2</v>
      </c>
      <c r="I12">
        <v>0</v>
      </c>
      <c r="J12">
        <v>0</v>
      </c>
      <c r="K12">
        <v>2</v>
      </c>
      <c r="L12">
        <v>7.4404761904761901E-4</v>
      </c>
      <c r="M12">
        <v>0.99925595238095233</v>
      </c>
      <c r="N12">
        <v>0</v>
      </c>
      <c r="O12">
        <v>1</v>
      </c>
      <c r="P12">
        <v>7.4404761904761901E-4</v>
      </c>
      <c r="Q12">
        <v>11</v>
      </c>
      <c r="R12">
        <v>2023</v>
      </c>
      <c r="S12" s="1">
        <v>45231</v>
      </c>
    </row>
    <row r="13" spans="1:19" x14ac:dyDescent="0.3">
      <c r="A13" t="s">
        <v>19</v>
      </c>
      <c r="B13">
        <v>194</v>
      </c>
      <c r="C13" t="s">
        <v>20</v>
      </c>
      <c r="D13">
        <v>25</v>
      </c>
      <c r="E13" t="s">
        <v>32</v>
      </c>
      <c r="F13">
        <v>4850</v>
      </c>
      <c r="G13">
        <v>0</v>
      </c>
      <c r="H13">
        <v>0</v>
      </c>
      <c r="I13">
        <v>11</v>
      </c>
      <c r="J13">
        <v>0</v>
      </c>
      <c r="K13">
        <v>11</v>
      </c>
      <c r="L13">
        <v>2.268041237113402E-3</v>
      </c>
      <c r="M13">
        <v>0.99773195876288656</v>
      </c>
      <c r="N13">
        <v>0</v>
      </c>
      <c r="O13">
        <v>1</v>
      </c>
      <c r="P13">
        <v>2.268041237113402E-3</v>
      </c>
      <c r="Q13">
        <v>12</v>
      </c>
      <c r="R13">
        <v>2023</v>
      </c>
      <c r="S13" s="1">
        <v>45261</v>
      </c>
    </row>
    <row r="14" spans="1:19" x14ac:dyDescent="0.3">
      <c r="A14" t="s">
        <v>19</v>
      </c>
      <c r="B14">
        <v>194</v>
      </c>
      <c r="C14" t="s">
        <v>20</v>
      </c>
      <c r="D14">
        <v>26</v>
      </c>
      <c r="E14" t="s">
        <v>21</v>
      </c>
      <c r="F14">
        <v>5044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2024</v>
      </c>
      <c r="S14" s="1">
        <v>45292</v>
      </c>
    </row>
    <row r="15" spans="1:19" x14ac:dyDescent="0.3">
      <c r="A15" t="s">
        <v>19</v>
      </c>
      <c r="B15">
        <v>220</v>
      </c>
      <c r="C15" t="s">
        <v>20</v>
      </c>
      <c r="D15">
        <v>25</v>
      </c>
      <c r="E15" t="s">
        <v>22</v>
      </c>
      <c r="F15">
        <v>5500</v>
      </c>
      <c r="G15">
        <v>0</v>
      </c>
      <c r="H15">
        <v>0</v>
      </c>
      <c r="I15">
        <v>9</v>
      </c>
      <c r="J15">
        <v>0</v>
      </c>
      <c r="K15">
        <v>9</v>
      </c>
      <c r="L15">
        <v>1.6363636363636363E-3</v>
      </c>
      <c r="M15">
        <v>0.99836363636363634</v>
      </c>
      <c r="N15">
        <v>0</v>
      </c>
      <c r="O15">
        <v>1</v>
      </c>
      <c r="P15">
        <v>1.6363636363636363E-3</v>
      </c>
      <c r="Q15">
        <v>2</v>
      </c>
      <c r="R15">
        <v>2024</v>
      </c>
      <c r="S15" s="1">
        <v>45323</v>
      </c>
    </row>
    <row r="16" spans="1:19" x14ac:dyDescent="0.3">
      <c r="A16" t="s">
        <v>19</v>
      </c>
      <c r="B16">
        <v>220</v>
      </c>
      <c r="C16" t="s">
        <v>20</v>
      </c>
      <c r="D16">
        <v>25</v>
      </c>
      <c r="E16" t="s">
        <v>23</v>
      </c>
      <c r="F16">
        <v>5500</v>
      </c>
      <c r="G16">
        <v>0</v>
      </c>
      <c r="H16">
        <v>4</v>
      </c>
      <c r="I16">
        <v>13</v>
      </c>
      <c r="J16">
        <v>0</v>
      </c>
      <c r="K16">
        <v>17</v>
      </c>
      <c r="L16">
        <v>3.0909090909090908E-3</v>
      </c>
      <c r="M16">
        <v>0.99690909090909086</v>
      </c>
      <c r="N16">
        <v>0</v>
      </c>
      <c r="O16">
        <v>1</v>
      </c>
      <c r="P16">
        <v>3.0909090909090908E-3</v>
      </c>
      <c r="Q16">
        <v>3</v>
      </c>
      <c r="R16">
        <v>2024</v>
      </c>
      <c r="S16" s="1">
        <v>45352</v>
      </c>
    </row>
    <row r="17" spans="1:19" x14ac:dyDescent="0.3">
      <c r="A17" t="s">
        <v>19</v>
      </c>
      <c r="B17">
        <v>220</v>
      </c>
      <c r="C17" t="s">
        <v>20</v>
      </c>
      <c r="D17">
        <v>26</v>
      </c>
      <c r="E17" t="s">
        <v>24</v>
      </c>
      <c r="F17">
        <v>5720</v>
      </c>
      <c r="G17">
        <v>0</v>
      </c>
      <c r="H17">
        <v>3</v>
      </c>
      <c r="I17">
        <v>27</v>
      </c>
      <c r="J17">
        <v>34</v>
      </c>
      <c r="K17">
        <v>64</v>
      </c>
      <c r="L17">
        <v>1.1188811188811189E-2</v>
      </c>
      <c r="M17">
        <v>0.98881118881118879</v>
      </c>
      <c r="N17">
        <v>0</v>
      </c>
      <c r="O17">
        <v>1</v>
      </c>
      <c r="P17">
        <v>1.1188811188811189E-2</v>
      </c>
      <c r="Q17">
        <v>4</v>
      </c>
      <c r="R17">
        <v>2024</v>
      </c>
      <c r="S17" s="1">
        <v>45383</v>
      </c>
    </row>
    <row r="18" spans="1:19" x14ac:dyDescent="0.3">
      <c r="A18" t="s">
        <v>19</v>
      </c>
      <c r="B18">
        <v>220</v>
      </c>
      <c r="C18" t="s">
        <v>20</v>
      </c>
      <c r="D18">
        <v>5</v>
      </c>
      <c r="E18" t="s">
        <v>33</v>
      </c>
      <c r="F18">
        <v>1100</v>
      </c>
      <c r="G18">
        <v>0</v>
      </c>
      <c r="H18">
        <v>0</v>
      </c>
      <c r="I18">
        <v>15</v>
      </c>
      <c r="J18">
        <v>10</v>
      </c>
      <c r="K18">
        <v>25</v>
      </c>
      <c r="L18">
        <v>2.2727272727272728E-2</v>
      </c>
      <c r="M18">
        <v>0.97727272727272729</v>
      </c>
      <c r="N18">
        <v>0</v>
      </c>
      <c r="O18">
        <v>1</v>
      </c>
      <c r="P18">
        <v>2.2727272727272728E-2</v>
      </c>
      <c r="Q18">
        <v>5</v>
      </c>
      <c r="R18">
        <v>2024</v>
      </c>
      <c r="S18" s="1">
        <v>45413</v>
      </c>
    </row>
    <row r="19" spans="1:19" x14ac:dyDescent="0.3">
      <c r="A19" t="s">
        <v>19</v>
      </c>
      <c r="B19">
        <v>171</v>
      </c>
      <c r="C19" t="s">
        <v>20</v>
      </c>
      <c r="D19">
        <v>14</v>
      </c>
      <c r="E19" t="s">
        <v>26</v>
      </c>
      <c r="F19">
        <v>2394</v>
      </c>
      <c r="G19">
        <v>0</v>
      </c>
      <c r="H19">
        <v>0</v>
      </c>
      <c r="I19">
        <v>22</v>
      </c>
      <c r="J19">
        <v>18</v>
      </c>
      <c r="K19">
        <v>40</v>
      </c>
      <c r="L19">
        <v>1.6708437761069339E-2</v>
      </c>
      <c r="M19">
        <v>0.98329156223893066</v>
      </c>
      <c r="N19">
        <v>0</v>
      </c>
      <c r="O19">
        <v>1</v>
      </c>
      <c r="P19">
        <v>1.6708437761069339E-2</v>
      </c>
      <c r="Q19">
        <v>6</v>
      </c>
      <c r="R19">
        <v>2024</v>
      </c>
      <c r="S19" s="1">
        <v>45444</v>
      </c>
    </row>
    <row r="20" spans="1:19" x14ac:dyDescent="0.3">
      <c r="A20" t="s">
        <v>19</v>
      </c>
      <c r="B20">
        <v>165</v>
      </c>
      <c r="C20" t="s">
        <v>20</v>
      </c>
      <c r="D20">
        <v>23</v>
      </c>
      <c r="E20" t="s">
        <v>27</v>
      </c>
      <c r="F20">
        <v>3795</v>
      </c>
      <c r="G20">
        <v>5</v>
      </c>
      <c r="H20">
        <v>0</v>
      </c>
      <c r="I20">
        <v>35</v>
      </c>
      <c r="J20">
        <v>15</v>
      </c>
      <c r="K20">
        <v>55</v>
      </c>
      <c r="L20">
        <v>1.4492753623188406E-2</v>
      </c>
      <c r="M20">
        <v>0.98550724637681164</v>
      </c>
      <c r="N20">
        <v>0</v>
      </c>
      <c r="O20">
        <v>1</v>
      </c>
      <c r="P20">
        <v>1.4492753623188406E-2</v>
      </c>
      <c r="Q20">
        <v>7</v>
      </c>
      <c r="R20">
        <v>2024</v>
      </c>
      <c r="S20" s="1">
        <v>45474</v>
      </c>
    </row>
    <row r="21" spans="1:19" x14ac:dyDescent="0.3">
      <c r="A21" t="s">
        <v>19</v>
      </c>
      <c r="B21">
        <v>165</v>
      </c>
      <c r="C21" t="s">
        <v>20</v>
      </c>
      <c r="D21">
        <v>17</v>
      </c>
      <c r="E21" t="s">
        <v>28</v>
      </c>
      <c r="F21">
        <v>2805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1</v>
      </c>
      <c r="P21">
        <v>0</v>
      </c>
      <c r="Q21">
        <v>8</v>
      </c>
      <c r="R21">
        <v>2024</v>
      </c>
      <c r="S21" s="1">
        <v>45505</v>
      </c>
    </row>
    <row r="22" spans="1:19" x14ac:dyDescent="0.3">
      <c r="A22" t="s">
        <v>19</v>
      </c>
      <c r="B22">
        <v>164</v>
      </c>
      <c r="C22" t="s">
        <v>20</v>
      </c>
      <c r="D22">
        <v>21</v>
      </c>
      <c r="E22" t="s">
        <v>29</v>
      </c>
      <c r="F22">
        <v>3444</v>
      </c>
      <c r="G22">
        <v>0</v>
      </c>
      <c r="H22">
        <v>0</v>
      </c>
      <c r="I22">
        <v>7</v>
      </c>
      <c r="J22">
        <v>0</v>
      </c>
      <c r="K22">
        <v>7</v>
      </c>
      <c r="L22">
        <v>2.0325203252032522E-3</v>
      </c>
      <c r="M22">
        <v>0.99796747967479671</v>
      </c>
      <c r="N22">
        <v>0</v>
      </c>
      <c r="O22">
        <v>1</v>
      </c>
      <c r="P22">
        <v>2.0325203252032522E-3</v>
      </c>
      <c r="Q22">
        <v>9</v>
      </c>
      <c r="R22">
        <v>2024</v>
      </c>
      <c r="S22" s="1">
        <v>45536</v>
      </c>
    </row>
    <row r="23" spans="1:19" x14ac:dyDescent="0.3">
      <c r="A23" t="s">
        <v>19</v>
      </c>
      <c r="B23">
        <v>174</v>
      </c>
      <c r="C23" t="s">
        <v>20</v>
      </c>
      <c r="D23">
        <v>23</v>
      </c>
      <c r="E23" t="s">
        <v>30</v>
      </c>
      <c r="F23">
        <v>4002</v>
      </c>
      <c r="G23">
        <v>0</v>
      </c>
      <c r="H23">
        <v>0</v>
      </c>
      <c r="I23">
        <v>9</v>
      </c>
      <c r="J23">
        <v>0</v>
      </c>
      <c r="K23">
        <v>9</v>
      </c>
      <c r="L23">
        <v>2.2488755622188904E-3</v>
      </c>
      <c r="M23">
        <v>0.99775112443778113</v>
      </c>
      <c r="N23">
        <v>0</v>
      </c>
      <c r="O23">
        <v>1</v>
      </c>
      <c r="P23">
        <v>2.2488755622188904E-3</v>
      </c>
      <c r="Q23">
        <v>10</v>
      </c>
      <c r="R23">
        <v>2024</v>
      </c>
      <c r="S23" s="1">
        <v>45566</v>
      </c>
    </row>
    <row r="24" spans="1:19" x14ac:dyDescent="0.3">
      <c r="A24" t="s">
        <v>19</v>
      </c>
      <c r="B24">
        <v>206</v>
      </c>
      <c r="C24" t="s">
        <v>20</v>
      </c>
      <c r="D24">
        <v>21</v>
      </c>
      <c r="E24" t="s">
        <v>31</v>
      </c>
      <c r="F24">
        <v>4326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11</v>
      </c>
      <c r="R24">
        <v>2024</v>
      </c>
      <c r="S24" s="1">
        <v>45597</v>
      </c>
    </row>
    <row r="25" spans="1:19" x14ac:dyDescent="0.3">
      <c r="A25" t="s">
        <v>19</v>
      </c>
      <c r="B25">
        <v>209</v>
      </c>
      <c r="C25" t="s">
        <v>20</v>
      </c>
      <c r="D25">
        <v>26</v>
      </c>
      <c r="E25" t="s">
        <v>32</v>
      </c>
      <c r="F25">
        <v>5434</v>
      </c>
      <c r="G25">
        <v>0</v>
      </c>
      <c r="H25">
        <v>0</v>
      </c>
      <c r="I25">
        <v>17</v>
      </c>
      <c r="J25">
        <v>0</v>
      </c>
      <c r="K25">
        <v>17</v>
      </c>
      <c r="L25">
        <v>3.1284504968715496E-3</v>
      </c>
      <c r="M25">
        <v>0.9968715495031284</v>
      </c>
      <c r="N25">
        <v>0</v>
      </c>
      <c r="O25">
        <v>1</v>
      </c>
      <c r="P25">
        <v>3.1284504968715496E-3</v>
      </c>
      <c r="Q25">
        <v>12</v>
      </c>
      <c r="R25">
        <v>2024</v>
      </c>
      <c r="S25" s="1">
        <v>45627</v>
      </c>
    </row>
    <row r="26" spans="1:19" x14ac:dyDescent="0.3">
      <c r="A26" t="s">
        <v>19</v>
      </c>
      <c r="B26">
        <v>221</v>
      </c>
      <c r="C26" t="s">
        <v>20</v>
      </c>
      <c r="D26">
        <v>27</v>
      </c>
      <c r="E26" t="s">
        <v>21</v>
      </c>
      <c r="F26">
        <v>5967</v>
      </c>
      <c r="G26">
        <v>0</v>
      </c>
      <c r="H26">
        <v>0</v>
      </c>
      <c r="I26">
        <v>27</v>
      </c>
      <c r="J26">
        <v>0</v>
      </c>
      <c r="K26">
        <v>27</v>
      </c>
      <c r="L26">
        <v>4.5248868778280547E-3</v>
      </c>
      <c r="M26">
        <v>0.99547511312217196</v>
      </c>
      <c r="N26">
        <v>0.11700000000000001</v>
      </c>
      <c r="O26">
        <v>0.88300000000000001</v>
      </c>
      <c r="P26">
        <v>-0.11247511312217195</v>
      </c>
      <c r="Q26">
        <v>1</v>
      </c>
      <c r="R26">
        <v>2025</v>
      </c>
      <c r="S26" s="1">
        <v>45658</v>
      </c>
    </row>
    <row r="27" spans="1:19" x14ac:dyDescent="0.3">
      <c r="A27" t="s">
        <v>19</v>
      </c>
      <c r="B27">
        <v>221</v>
      </c>
      <c r="C27" t="s">
        <v>20</v>
      </c>
      <c r="D27">
        <v>24</v>
      </c>
      <c r="E27" t="s">
        <v>22</v>
      </c>
      <c r="F27">
        <v>5304</v>
      </c>
      <c r="G27">
        <v>11</v>
      </c>
      <c r="H27">
        <v>2</v>
      </c>
      <c r="I27">
        <v>0</v>
      </c>
      <c r="J27">
        <v>0</v>
      </c>
      <c r="K27">
        <v>13</v>
      </c>
      <c r="L27">
        <v>2.4509803921568627E-3</v>
      </c>
      <c r="M27">
        <v>0.99754901960784315</v>
      </c>
      <c r="N27">
        <v>0.1038</v>
      </c>
      <c r="O27">
        <v>0.8962</v>
      </c>
      <c r="P27">
        <v>-0.10134901960784314</v>
      </c>
      <c r="Q27">
        <v>2</v>
      </c>
      <c r="R27">
        <v>2025</v>
      </c>
      <c r="S27" s="1">
        <v>45689</v>
      </c>
    </row>
    <row r="28" spans="1:19" x14ac:dyDescent="0.3">
      <c r="A28" t="s">
        <v>19</v>
      </c>
      <c r="B28">
        <v>221</v>
      </c>
      <c r="C28" t="s">
        <v>20</v>
      </c>
      <c r="D28">
        <v>25</v>
      </c>
      <c r="E28" t="s">
        <v>23</v>
      </c>
      <c r="F28">
        <v>5525</v>
      </c>
      <c r="G28">
        <v>0</v>
      </c>
      <c r="H28">
        <v>2</v>
      </c>
      <c r="I28">
        <v>0</v>
      </c>
      <c r="J28">
        <v>0</v>
      </c>
      <c r="K28">
        <v>2</v>
      </c>
      <c r="L28">
        <v>3.6199095022624434E-4</v>
      </c>
      <c r="M28">
        <v>0.99963800904977373</v>
      </c>
      <c r="N28">
        <v>0.12559999999999999</v>
      </c>
      <c r="O28">
        <v>0.87440000000000007</v>
      </c>
      <c r="P28">
        <v>-0.12523800904977375</v>
      </c>
      <c r="Q28">
        <v>3</v>
      </c>
      <c r="R28">
        <v>2025</v>
      </c>
      <c r="S28" s="1">
        <v>45717</v>
      </c>
    </row>
    <row r="29" spans="1:19" x14ac:dyDescent="0.3">
      <c r="A29" t="s">
        <v>19</v>
      </c>
      <c r="B29">
        <v>221</v>
      </c>
      <c r="C29" t="s">
        <v>20</v>
      </c>
      <c r="D29">
        <v>25</v>
      </c>
      <c r="E29" t="s">
        <v>24</v>
      </c>
      <c r="F29">
        <v>5525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0.1431</v>
      </c>
      <c r="O29">
        <v>0.8569</v>
      </c>
      <c r="P29">
        <v>-0.1431</v>
      </c>
      <c r="Q29">
        <v>4</v>
      </c>
      <c r="R29">
        <v>2025</v>
      </c>
      <c r="S29" s="1">
        <v>45748</v>
      </c>
    </row>
    <row r="30" spans="1:19" x14ac:dyDescent="0.3">
      <c r="A30" t="s">
        <v>19</v>
      </c>
      <c r="B30">
        <v>221</v>
      </c>
      <c r="C30" t="s">
        <v>20</v>
      </c>
      <c r="D30">
        <v>15</v>
      </c>
      <c r="E30" t="s">
        <v>25</v>
      </c>
      <c r="F30">
        <v>3315</v>
      </c>
      <c r="G30">
        <v>0</v>
      </c>
      <c r="H30">
        <v>0</v>
      </c>
      <c r="I30">
        <v>51</v>
      </c>
      <c r="J30">
        <v>0</v>
      </c>
      <c r="K30">
        <v>51</v>
      </c>
      <c r="L30">
        <v>1.5384615384615385E-2</v>
      </c>
      <c r="M30">
        <v>0.98461538461538467</v>
      </c>
      <c r="N30">
        <v>0.1583</v>
      </c>
      <c r="O30">
        <v>0.8417</v>
      </c>
      <c r="P30">
        <v>-0.14291538461538461</v>
      </c>
      <c r="Q30">
        <v>5</v>
      </c>
      <c r="R30">
        <v>2025</v>
      </c>
      <c r="S30" s="1">
        <v>45778</v>
      </c>
    </row>
    <row r="31" spans="1:19" x14ac:dyDescent="0.3">
      <c r="A31" t="s">
        <v>19</v>
      </c>
      <c r="B31">
        <v>207</v>
      </c>
      <c r="C31" t="s">
        <v>20</v>
      </c>
      <c r="D31">
        <v>5</v>
      </c>
      <c r="E31" t="s">
        <v>26</v>
      </c>
      <c r="F31">
        <v>1035</v>
      </c>
      <c r="G31">
        <v>0</v>
      </c>
      <c r="H31">
        <v>0</v>
      </c>
      <c r="I31">
        <v>3</v>
      </c>
      <c r="J31">
        <v>0</v>
      </c>
      <c r="K31">
        <v>3</v>
      </c>
      <c r="L31">
        <v>2.8985507246376812E-3</v>
      </c>
      <c r="M31">
        <v>0.99710144927536237</v>
      </c>
      <c r="N31">
        <v>0.15989999999999999</v>
      </c>
      <c r="O31">
        <v>0.84010000000000007</v>
      </c>
      <c r="P31">
        <v>-0.1570014492753623</v>
      </c>
      <c r="Q31">
        <v>6</v>
      </c>
      <c r="R31">
        <v>2025</v>
      </c>
      <c r="S31" s="1">
        <v>45809</v>
      </c>
    </row>
    <row r="32" spans="1:19" x14ac:dyDescent="0.3">
      <c r="A32" t="s">
        <v>19</v>
      </c>
      <c r="B32">
        <v>155</v>
      </c>
      <c r="C32" t="s">
        <v>20</v>
      </c>
      <c r="D32">
        <v>23</v>
      </c>
      <c r="E32" t="s">
        <v>27</v>
      </c>
      <c r="F32">
        <v>3565</v>
      </c>
      <c r="G32">
        <v>0</v>
      </c>
      <c r="H32">
        <v>0</v>
      </c>
      <c r="I32">
        <v>0</v>
      </c>
      <c r="J32">
        <v>28</v>
      </c>
      <c r="K32">
        <v>28</v>
      </c>
      <c r="L32">
        <v>7.8541374474053304E-3</v>
      </c>
      <c r="M32">
        <v>0.99214586255259463</v>
      </c>
      <c r="N32">
        <v>0.12620000000000001</v>
      </c>
      <c r="O32">
        <v>0.87380000000000002</v>
      </c>
      <c r="P32">
        <v>-0.11834586255259467</v>
      </c>
      <c r="Q32">
        <v>7</v>
      </c>
      <c r="R32">
        <v>2025</v>
      </c>
      <c r="S32" s="1">
        <v>45839</v>
      </c>
    </row>
    <row r="33" spans="1:19" x14ac:dyDescent="0.3">
      <c r="A33" t="s">
        <v>19</v>
      </c>
      <c r="B33">
        <v>154</v>
      </c>
      <c r="C33" t="s">
        <v>20</v>
      </c>
      <c r="D33">
        <v>21</v>
      </c>
      <c r="E33" t="s">
        <v>28</v>
      </c>
      <c r="F33">
        <v>3234</v>
      </c>
      <c r="G33">
        <v>0</v>
      </c>
      <c r="H33">
        <v>0</v>
      </c>
      <c r="I33">
        <v>0</v>
      </c>
      <c r="J33">
        <v>21</v>
      </c>
      <c r="K33">
        <v>21</v>
      </c>
      <c r="L33">
        <v>6.4935064935064939E-3</v>
      </c>
      <c r="M33">
        <v>0.99350649350649356</v>
      </c>
      <c r="N33">
        <v>8.7900000000000006E-2</v>
      </c>
      <c r="O33">
        <v>0.91210000000000002</v>
      </c>
      <c r="P33">
        <v>-8.140649350649351E-2</v>
      </c>
      <c r="Q33">
        <v>8</v>
      </c>
      <c r="R33">
        <v>2025</v>
      </c>
      <c r="S33" s="1">
        <v>45870</v>
      </c>
    </row>
    <row r="34" spans="1:19" x14ac:dyDescent="0.3">
      <c r="A34" t="s">
        <v>19</v>
      </c>
      <c r="B34">
        <v>154</v>
      </c>
      <c r="C34" t="s">
        <v>20</v>
      </c>
      <c r="D34">
        <v>22</v>
      </c>
      <c r="E34" t="s">
        <v>29</v>
      </c>
      <c r="F34">
        <v>3388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</v>
      </c>
      <c r="N34">
        <v>7.8399999999999997E-2</v>
      </c>
      <c r="O34">
        <v>0.92159999999999997</v>
      </c>
      <c r="P34">
        <v>-7.8399999999999997E-2</v>
      </c>
      <c r="Q34">
        <v>9</v>
      </c>
      <c r="R34">
        <v>2025</v>
      </c>
      <c r="S34" s="1">
        <v>45901</v>
      </c>
    </row>
    <row r="35" spans="1:19" x14ac:dyDescent="0.3">
      <c r="A35" t="s">
        <v>19</v>
      </c>
      <c r="B35">
        <v>174</v>
      </c>
      <c r="C35" t="s">
        <v>20</v>
      </c>
      <c r="D35">
        <v>19</v>
      </c>
      <c r="E35" t="s">
        <v>30</v>
      </c>
      <c r="F35">
        <v>3306</v>
      </c>
      <c r="G35">
        <v>0</v>
      </c>
      <c r="H35">
        <v>6</v>
      </c>
      <c r="I35">
        <v>2</v>
      </c>
      <c r="J35">
        <v>0</v>
      </c>
      <c r="K35">
        <v>8</v>
      </c>
      <c r="L35">
        <v>2.4198427102238356E-3</v>
      </c>
      <c r="M35">
        <v>0.99758015728977611</v>
      </c>
      <c r="N35">
        <v>8.7800000000000003E-2</v>
      </c>
      <c r="O35">
        <v>0.91220000000000001</v>
      </c>
      <c r="P35">
        <v>-8.5380157289776173E-2</v>
      </c>
      <c r="Q35">
        <v>10</v>
      </c>
      <c r="R35">
        <v>2025</v>
      </c>
      <c r="S35" s="1">
        <v>45931</v>
      </c>
    </row>
    <row r="36" spans="1:19" x14ac:dyDescent="0.3">
      <c r="A36" t="s">
        <v>19</v>
      </c>
      <c r="B36">
        <v>316</v>
      </c>
      <c r="C36" t="s">
        <v>34</v>
      </c>
      <c r="D36">
        <v>26</v>
      </c>
      <c r="E36" t="s">
        <v>21</v>
      </c>
      <c r="F36">
        <v>8216</v>
      </c>
      <c r="G36">
        <v>1183</v>
      </c>
      <c r="H36">
        <v>0</v>
      </c>
      <c r="I36">
        <v>88</v>
      </c>
      <c r="J36">
        <v>31</v>
      </c>
      <c r="K36">
        <v>1302</v>
      </c>
      <c r="L36">
        <v>0.15847127555988316</v>
      </c>
      <c r="M36">
        <v>0.84152872444011684</v>
      </c>
      <c r="N36">
        <v>0</v>
      </c>
      <c r="O36">
        <v>1</v>
      </c>
      <c r="P36">
        <v>0.15847127555988316</v>
      </c>
      <c r="Q36">
        <v>1</v>
      </c>
      <c r="R36">
        <v>2023</v>
      </c>
      <c r="S36" s="1">
        <v>44927</v>
      </c>
    </row>
    <row r="37" spans="1:19" x14ac:dyDescent="0.3">
      <c r="A37" t="s">
        <v>19</v>
      </c>
      <c r="B37">
        <v>316</v>
      </c>
      <c r="C37" t="s">
        <v>34</v>
      </c>
      <c r="D37">
        <v>24</v>
      </c>
      <c r="E37" t="s">
        <v>22</v>
      </c>
      <c r="F37">
        <v>7584</v>
      </c>
      <c r="G37">
        <v>879</v>
      </c>
      <c r="H37">
        <v>0</v>
      </c>
      <c r="I37">
        <v>82</v>
      </c>
      <c r="J37">
        <v>2</v>
      </c>
      <c r="K37">
        <v>963</v>
      </c>
      <c r="L37">
        <v>0.12697784810126583</v>
      </c>
      <c r="M37">
        <v>0.87302215189873422</v>
      </c>
      <c r="N37">
        <v>0</v>
      </c>
      <c r="O37">
        <v>1</v>
      </c>
      <c r="P37">
        <v>0.12697784810126583</v>
      </c>
      <c r="Q37">
        <v>2</v>
      </c>
      <c r="R37">
        <v>2023</v>
      </c>
      <c r="S37" s="1">
        <v>44958</v>
      </c>
    </row>
    <row r="38" spans="1:19" x14ac:dyDescent="0.3">
      <c r="A38" t="s">
        <v>19</v>
      </c>
      <c r="B38">
        <v>316</v>
      </c>
      <c r="C38" t="s">
        <v>34</v>
      </c>
      <c r="D38">
        <v>26</v>
      </c>
      <c r="E38" t="s">
        <v>23</v>
      </c>
      <c r="F38">
        <v>8216</v>
      </c>
      <c r="G38">
        <v>962</v>
      </c>
      <c r="H38">
        <v>0</v>
      </c>
      <c r="I38">
        <v>128</v>
      </c>
      <c r="J38">
        <v>3</v>
      </c>
      <c r="K38">
        <v>1093</v>
      </c>
      <c r="L38">
        <v>0.13303310613437197</v>
      </c>
      <c r="M38">
        <v>0.86696689386562809</v>
      </c>
      <c r="N38">
        <v>0</v>
      </c>
      <c r="O38">
        <v>1</v>
      </c>
      <c r="P38">
        <v>0.13303310613437197</v>
      </c>
      <c r="Q38">
        <v>3</v>
      </c>
      <c r="R38">
        <v>2023</v>
      </c>
      <c r="S38" s="1">
        <v>44986</v>
      </c>
    </row>
    <row r="39" spans="1:19" x14ac:dyDescent="0.3">
      <c r="A39" t="s">
        <v>19</v>
      </c>
      <c r="B39">
        <v>316</v>
      </c>
      <c r="C39" t="s">
        <v>34</v>
      </c>
      <c r="D39">
        <v>25</v>
      </c>
      <c r="E39" t="s">
        <v>24</v>
      </c>
      <c r="F39">
        <v>7900</v>
      </c>
      <c r="G39">
        <v>981</v>
      </c>
      <c r="H39">
        <v>0</v>
      </c>
      <c r="I39">
        <v>116</v>
      </c>
      <c r="J39">
        <v>4</v>
      </c>
      <c r="K39">
        <v>1101</v>
      </c>
      <c r="L39">
        <v>0.13936708860759495</v>
      </c>
      <c r="M39">
        <v>0.86063291139240505</v>
      </c>
      <c r="N39">
        <v>0</v>
      </c>
      <c r="O39">
        <v>1</v>
      </c>
      <c r="P39">
        <v>0.13936708860759495</v>
      </c>
      <c r="Q39">
        <v>4</v>
      </c>
      <c r="R39">
        <v>2023</v>
      </c>
      <c r="S39" s="1">
        <v>45017</v>
      </c>
    </row>
    <row r="40" spans="1:19" x14ac:dyDescent="0.3">
      <c r="A40" t="s">
        <v>19</v>
      </c>
      <c r="B40">
        <v>316</v>
      </c>
      <c r="C40" t="s">
        <v>34</v>
      </c>
      <c r="D40">
        <v>11</v>
      </c>
      <c r="E40" t="s">
        <v>25</v>
      </c>
      <c r="F40">
        <v>3476</v>
      </c>
      <c r="G40">
        <v>612</v>
      </c>
      <c r="H40">
        <v>0</v>
      </c>
      <c r="I40">
        <v>51</v>
      </c>
      <c r="J40">
        <v>16</v>
      </c>
      <c r="K40">
        <v>679</v>
      </c>
      <c r="L40">
        <v>0.19533947065592636</v>
      </c>
      <c r="M40">
        <v>0.80466052934407362</v>
      </c>
      <c r="N40">
        <v>0</v>
      </c>
      <c r="O40">
        <v>1</v>
      </c>
      <c r="P40">
        <v>0.19533947065592636</v>
      </c>
      <c r="Q40">
        <v>5</v>
      </c>
      <c r="R40">
        <v>2023</v>
      </c>
      <c r="S40" s="1">
        <v>45047</v>
      </c>
    </row>
    <row r="41" spans="1:19" x14ac:dyDescent="0.3">
      <c r="A41" t="s">
        <v>19</v>
      </c>
      <c r="B41">
        <v>147</v>
      </c>
      <c r="C41" t="s">
        <v>34</v>
      </c>
      <c r="D41">
        <v>22</v>
      </c>
      <c r="E41" t="s">
        <v>26</v>
      </c>
      <c r="F41">
        <v>3234</v>
      </c>
      <c r="G41">
        <v>271</v>
      </c>
      <c r="H41">
        <v>0</v>
      </c>
      <c r="I41">
        <v>46</v>
      </c>
      <c r="J41">
        <v>111</v>
      </c>
      <c r="K41">
        <v>428</v>
      </c>
      <c r="L41">
        <v>0.13234384662956092</v>
      </c>
      <c r="M41">
        <v>0.86765615337043911</v>
      </c>
      <c r="N41">
        <v>0</v>
      </c>
      <c r="O41">
        <v>1</v>
      </c>
      <c r="P41">
        <v>0.13234384662956092</v>
      </c>
      <c r="Q41">
        <v>6</v>
      </c>
      <c r="R41">
        <v>2023</v>
      </c>
      <c r="S41" s="1">
        <v>45078</v>
      </c>
    </row>
    <row r="42" spans="1:19" x14ac:dyDescent="0.3">
      <c r="A42" t="s">
        <v>19</v>
      </c>
      <c r="B42">
        <v>147</v>
      </c>
      <c r="C42" t="s">
        <v>34</v>
      </c>
      <c r="D42">
        <v>21</v>
      </c>
      <c r="E42" t="s">
        <v>27</v>
      </c>
      <c r="F42">
        <v>3087</v>
      </c>
      <c r="G42">
        <v>297</v>
      </c>
      <c r="H42">
        <v>5</v>
      </c>
      <c r="I42">
        <v>37</v>
      </c>
      <c r="J42">
        <v>6</v>
      </c>
      <c r="K42">
        <v>345</v>
      </c>
      <c r="L42">
        <v>0.11175898931000972</v>
      </c>
      <c r="M42">
        <v>0.88824101068999028</v>
      </c>
      <c r="N42">
        <v>0</v>
      </c>
      <c r="O42">
        <v>1</v>
      </c>
      <c r="P42">
        <v>0.11175898931000972</v>
      </c>
      <c r="Q42">
        <v>7</v>
      </c>
      <c r="R42">
        <v>2023</v>
      </c>
      <c r="S42" s="1">
        <v>45108</v>
      </c>
    </row>
    <row r="43" spans="1:19" x14ac:dyDescent="0.3">
      <c r="A43" t="s">
        <v>19</v>
      </c>
      <c r="B43">
        <v>147</v>
      </c>
      <c r="C43" t="s">
        <v>34</v>
      </c>
      <c r="D43">
        <v>23</v>
      </c>
      <c r="E43" t="s">
        <v>28</v>
      </c>
      <c r="F43">
        <v>3381</v>
      </c>
      <c r="G43">
        <v>211</v>
      </c>
      <c r="H43">
        <v>0</v>
      </c>
      <c r="I43">
        <v>45</v>
      </c>
      <c r="J43">
        <v>24</v>
      </c>
      <c r="K43">
        <v>280</v>
      </c>
      <c r="L43">
        <v>8.2815734989648032E-2</v>
      </c>
      <c r="M43">
        <v>0.917184265010352</v>
      </c>
      <c r="N43">
        <v>0</v>
      </c>
      <c r="O43">
        <v>1</v>
      </c>
      <c r="P43">
        <v>8.2815734989648032E-2</v>
      </c>
      <c r="Q43">
        <v>8</v>
      </c>
      <c r="R43">
        <v>2023</v>
      </c>
      <c r="S43" s="1">
        <v>45139</v>
      </c>
    </row>
    <row r="44" spans="1:19" x14ac:dyDescent="0.3">
      <c r="A44" t="s">
        <v>19</v>
      </c>
      <c r="B44">
        <v>147</v>
      </c>
      <c r="C44" t="s">
        <v>34</v>
      </c>
      <c r="D44">
        <v>21</v>
      </c>
      <c r="E44" t="s">
        <v>29</v>
      </c>
      <c r="F44">
        <v>3087</v>
      </c>
      <c r="G44">
        <v>166</v>
      </c>
      <c r="H44">
        <v>0</v>
      </c>
      <c r="I44">
        <v>42</v>
      </c>
      <c r="J44">
        <v>4</v>
      </c>
      <c r="K44">
        <v>212</v>
      </c>
      <c r="L44">
        <v>6.8675089083252344E-2</v>
      </c>
      <c r="M44">
        <v>0.93132491091674763</v>
      </c>
      <c r="N44">
        <v>0</v>
      </c>
      <c r="O44">
        <v>1</v>
      </c>
      <c r="P44">
        <v>6.8675089083252344E-2</v>
      </c>
      <c r="Q44">
        <v>9</v>
      </c>
      <c r="R44">
        <v>2023</v>
      </c>
      <c r="S44" s="1">
        <v>45170</v>
      </c>
    </row>
    <row r="45" spans="1:19" x14ac:dyDescent="0.3">
      <c r="A45" t="s">
        <v>19</v>
      </c>
      <c r="B45">
        <v>147</v>
      </c>
      <c r="C45" t="s">
        <v>34</v>
      </c>
      <c r="D45">
        <v>22</v>
      </c>
      <c r="E45" t="s">
        <v>30</v>
      </c>
      <c r="F45">
        <v>3234</v>
      </c>
      <c r="G45">
        <v>240</v>
      </c>
      <c r="H45">
        <v>0</v>
      </c>
      <c r="I45">
        <v>79</v>
      </c>
      <c r="J45">
        <v>0</v>
      </c>
      <c r="K45">
        <v>319</v>
      </c>
      <c r="L45">
        <v>9.8639455782312924E-2</v>
      </c>
      <c r="M45">
        <v>0.90136054421768708</v>
      </c>
      <c r="N45">
        <v>0</v>
      </c>
      <c r="O45">
        <v>1</v>
      </c>
      <c r="P45">
        <v>9.8639455782312924E-2</v>
      </c>
      <c r="Q45">
        <v>10</v>
      </c>
      <c r="R45">
        <v>2023</v>
      </c>
      <c r="S45" s="1">
        <v>45200</v>
      </c>
    </row>
    <row r="46" spans="1:19" x14ac:dyDescent="0.3">
      <c r="A46" t="s">
        <v>19</v>
      </c>
      <c r="B46">
        <v>316</v>
      </c>
      <c r="C46" t="s">
        <v>34</v>
      </c>
      <c r="D46">
        <v>14</v>
      </c>
      <c r="E46" t="s">
        <v>31</v>
      </c>
      <c r="F46">
        <v>4424</v>
      </c>
      <c r="G46">
        <v>570</v>
      </c>
      <c r="H46">
        <v>0</v>
      </c>
      <c r="I46">
        <v>46</v>
      </c>
      <c r="J46">
        <v>14</v>
      </c>
      <c r="K46">
        <v>630</v>
      </c>
      <c r="L46">
        <v>0.14240506329113925</v>
      </c>
      <c r="M46">
        <v>0.85759493670886078</v>
      </c>
      <c r="N46">
        <v>0</v>
      </c>
      <c r="O46">
        <v>1</v>
      </c>
      <c r="P46">
        <v>0.14240506329113925</v>
      </c>
      <c r="Q46">
        <v>11</v>
      </c>
      <c r="R46">
        <v>2023</v>
      </c>
      <c r="S46" s="1">
        <v>45231</v>
      </c>
    </row>
    <row r="47" spans="1:19" x14ac:dyDescent="0.3">
      <c r="A47" t="s">
        <v>19</v>
      </c>
      <c r="B47">
        <v>316</v>
      </c>
      <c r="C47" t="s">
        <v>34</v>
      </c>
      <c r="D47">
        <v>25</v>
      </c>
      <c r="E47" t="s">
        <v>32</v>
      </c>
      <c r="F47">
        <v>7900</v>
      </c>
      <c r="G47">
        <v>852</v>
      </c>
      <c r="H47">
        <v>0</v>
      </c>
      <c r="I47">
        <v>107</v>
      </c>
      <c r="J47">
        <v>33</v>
      </c>
      <c r="K47">
        <v>992</v>
      </c>
      <c r="L47">
        <v>0.12556962025316457</v>
      </c>
      <c r="M47">
        <v>0.87443037974683546</v>
      </c>
      <c r="N47">
        <v>0</v>
      </c>
      <c r="O47">
        <v>1</v>
      </c>
      <c r="P47">
        <v>0.12556962025316457</v>
      </c>
      <c r="Q47">
        <v>12</v>
      </c>
      <c r="R47">
        <v>2023</v>
      </c>
      <c r="S47" s="1">
        <v>45261</v>
      </c>
    </row>
    <row r="48" spans="1:19" x14ac:dyDescent="0.3">
      <c r="A48" t="s">
        <v>19</v>
      </c>
      <c r="B48">
        <v>316</v>
      </c>
      <c r="C48" t="s">
        <v>34</v>
      </c>
      <c r="D48">
        <v>27</v>
      </c>
      <c r="E48" t="s">
        <v>21</v>
      </c>
      <c r="F48">
        <v>8532</v>
      </c>
      <c r="G48">
        <v>955</v>
      </c>
      <c r="H48">
        <v>0</v>
      </c>
      <c r="I48">
        <v>125</v>
      </c>
      <c r="J48">
        <v>33</v>
      </c>
      <c r="K48">
        <v>1113</v>
      </c>
      <c r="L48">
        <v>0.13045007032348804</v>
      </c>
      <c r="M48">
        <v>0.8695499296765119</v>
      </c>
      <c r="N48">
        <v>0</v>
      </c>
      <c r="O48">
        <v>1</v>
      </c>
      <c r="P48">
        <v>0.13045007032348804</v>
      </c>
      <c r="Q48">
        <v>1</v>
      </c>
      <c r="R48">
        <v>2024</v>
      </c>
      <c r="S48" s="1">
        <v>45292</v>
      </c>
    </row>
    <row r="49" spans="1:19" x14ac:dyDescent="0.3">
      <c r="A49" t="s">
        <v>19</v>
      </c>
      <c r="B49">
        <v>316</v>
      </c>
      <c r="C49" t="s">
        <v>34</v>
      </c>
      <c r="D49">
        <v>25</v>
      </c>
      <c r="E49" t="s">
        <v>22</v>
      </c>
      <c r="F49">
        <v>7900</v>
      </c>
      <c r="G49">
        <v>749</v>
      </c>
      <c r="H49">
        <v>14</v>
      </c>
      <c r="I49">
        <v>116</v>
      </c>
      <c r="J49">
        <v>36</v>
      </c>
      <c r="K49">
        <v>915</v>
      </c>
      <c r="L49">
        <v>0.11582278481012659</v>
      </c>
      <c r="M49">
        <v>0.88417721518987347</v>
      </c>
      <c r="N49">
        <v>0</v>
      </c>
      <c r="O49">
        <v>1</v>
      </c>
      <c r="P49">
        <v>0.11582278481012659</v>
      </c>
      <c r="Q49">
        <v>2</v>
      </c>
      <c r="R49">
        <v>2024</v>
      </c>
      <c r="S49" s="1">
        <v>45323</v>
      </c>
    </row>
    <row r="50" spans="1:19" x14ac:dyDescent="0.3">
      <c r="A50" t="s">
        <v>19</v>
      </c>
      <c r="B50">
        <v>316</v>
      </c>
      <c r="C50" t="s">
        <v>34</v>
      </c>
      <c r="D50">
        <v>26</v>
      </c>
      <c r="E50" t="s">
        <v>23</v>
      </c>
      <c r="F50">
        <v>8216</v>
      </c>
      <c r="G50">
        <v>985</v>
      </c>
      <c r="H50">
        <v>8</v>
      </c>
      <c r="I50">
        <v>139</v>
      </c>
      <c r="J50">
        <v>19</v>
      </c>
      <c r="K50">
        <v>1151</v>
      </c>
      <c r="L50">
        <v>0.1400925024342746</v>
      </c>
      <c r="M50">
        <v>0.85990749756572538</v>
      </c>
      <c r="N50">
        <v>0</v>
      </c>
      <c r="O50">
        <v>1</v>
      </c>
      <c r="P50">
        <v>0.1400925024342746</v>
      </c>
      <c r="Q50">
        <v>3</v>
      </c>
      <c r="R50">
        <v>2024</v>
      </c>
      <c r="S50" s="1">
        <v>45352</v>
      </c>
    </row>
    <row r="51" spans="1:19" x14ac:dyDescent="0.3">
      <c r="A51" t="s">
        <v>19</v>
      </c>
      <c r="B51">
        <v>316</v>
      </c>
      <c r="C51" t="s">
        <v>34</v>
      </c>
      <c r="D51">
        <v>26</v>
      </c>
      <c r="E51" t="s">
        <v>24</v>
      </c>
      <c r="F51">
        <v>8216</v>
      </c>
      <c r="G51">
        <v>1221</v>
      </c>
      <c r="H51">
        <v>0</v>
      </c>
      <c r="I51">
        <v>89</v>
      </c>
      <c r="J51">
        <v>1</v>
      </c>
      <c r="K51">
        <v>1311</v>
      </c>
      <c r="L51">
        <v>0.15956669912366114</v>
      </c>
      <c r="M51">
        <v>0.84043330087633883</v>
      </c>
      <c r="N51">
        <v>0</v>
      </c>
      <c r="O51">
        <v>1</v>
      </c>
      <c r="P51">
        <v>0.15956669912366114</v>
      </c>
      <c r="Q51">
        <v>4</v>
      </c>
      <c r="R51">
        <v>2024</v>
      </c>
      <c r="S51" s="1">
        <v>45383</v>
      </c>
    </row>
    <row r="52" spans="1:19" x14ac:dyDescent="0.3">
      <c r="A52" t="s">
        <v>19</v>
      </c>
      <c r="B52">
        <v>316</v>
      </c>
      <c r="C52" t="s">
        <v>34</v>
      </c>
      <c r="D52">
        <v>5</v>
      </c>
      <c r="E52" t="s">
        <v>33</v>
      </c>
      <c r="F52">
        <v>1580</v>
      </c>
      <c r="G52">
        <v>269</v>
      </c>
      <c r="H52">
        <v>0</v>
      </c>
      <c r="I52">
        <v>0</v>
      </c>
      <c r="J52">
        <v>10</v>
      </c>
      <c r="K52">
        <v>279</v>
      </c>
      <c r="L52">
        <v>0.17658227848101266</v>
      </c>
      <c r="M52">
        <v>0.82341772151898729</v>
      </c>
      <c r="N52">
        <v>0</v>
      </c>
      <c r="O52">
        <v>1</v>
      </c>
      <c r="P52">
        <v>0.17658227848101266</v>
      </c>
      <c r="Q52">
        <v>5</v>
      </c>
      <c r="R52">
        <v>2024</v>
      </c>
      <c r="S52" s="1">
        <v>45413</v>
      </c>
    </row>
    <row r="53" spans="1:19" x14ac:dyDescent="0.3">
      <c r="A53" t="s">
        <v>19</v>
      </c>
      <c r="B53">
        <v>147</v>
      </c>
      <c r="C53" t="s">
        <v>34</v>
      </c>
      <c r="D53">
        <v>14</v>
      </c>
      <c r="E53" t="s">
        <v>26</v>
      </c>
      <c r="F53">
        <v>2058</v>
      </c>
      <c r="G53">
        <v>311</v>
      </c>
      <c r="H53">
        <v>13</v>
      </c>
      <c r="I53">
        <v>43</v>
      </c>
      <c r="J53">
        <v>0</v>
      </c>
      <c r="K53">
        <v>367</v>
      </c>
      <c r="L53">
        <v>0.17832847424684159</v>
      </c>
      <c r="M53">
        <v>0.82167152575315838</v>
      </c>
      <c r="N53">
        <v>0</v>
      </c>
      <c r="O53">
        <v>1</v>
      </c>
      <c r="P53">
        <v>0.17832847424684159</v>
      </c>
      <c r="Q53">
        <v>6</v>
      </c>
      <c r="R53">
        <v>2024</v>
      </c>
      <c r="S53" s="1">
        <v>45444</v>
      </c>
    </row>
    <row r="54" spans="1:19" x14ac:dyDescent="0.3">
      <c r="A54" t="s">
        <v>19</v>
      </c>
      <c r="B54">
        <v>147</v>
      </c>
      <c r="C54" t="s">
        <v>34</v>
      </c>
      <c r="D54">
        <v>23</v>
      </c>
      <c r="E54" t="s">
        <v>27</v>
      </c>
      <c r="F54">
        <v>3381</v>
      </c>
      <c r="G54">
        <v>376</v>
      </c>
      <c r="H54">
        <v>0</v>
      </c>
      <c r="I54">
        <v>92</v>
      </c>
      <c r="J54">
        <v>8</v>
      </c>
      <c r="K54">
        <v>476</v>
      </c>
      <c r="L54">
        <v>0.14078674948240166</v>
      </c>
      <c r="M54">
        <v>0.85921325051759834</v>
      </c>
      <c r="N54">
        <v>0</v>
      </c>
      <c r="O54">
        <v>1</v>
      </c>
      <c r="P54">
        <v>0.14078674948240166</v>
      </c>
      <c r="Q54">
        <v>7</v>
      </c>
      <c r="R54">
        <v>2024</v>
      </c>
      <c r="S54" s="1">
        <v>45474</v>
      </c>
    </row>
    <row r="55" spans="1:19" x14ac:dyDescent="0.3">
      <c r="A55" t="s">
        <v>19</v>
      </c>
      <c r="B55">
        <v>147</v>
      </c>
      <c r="C55" t="s">
        <v>34</v>
      </c>
      <c r="D55">
        <v>17</v>
      </c>
      <c r="E55" t="s">
        <v>28</v>
      </c>
      <c r="F55">
        <v>2499</v>
      </c>
      <c r="G55">
        <v>194</v>
      </c>
      <c r="H55">
        <v>0</v>
      </c>
      <c r="I55">
        <v>38</v>
      </c>
      <c r="J55">
        <v>13</v>
      </c>
      <c r="K55">
        <v>245</v>
      </c>
      <c r="L55">
        <v>9.8039215686274508E-2</v>
      </c>
      <c r="M55">
        <v>0.90196078431372551</v>
      </c>
      <c r="N55">
        <v>0</v>
      </c>
      <c r="O55">
        <v>1</v>
      </c>
      <c r="P55">
        <v>9.8039215686274508E-2</v>
      </c>
      <c r="Q55">
        <v>8</v>
      </c>
      <c r="R55">
        <v>2024</v>
      </c>
      <c r="S55" s="1">
        <v>45505</v>
      </c>
    </row>
    <row r="56" spans="1:19" x14ac:dyDescent="0.3">
      <c r="A56" t="s">
        <v>19</v>
      </c>
      <c r="B56">
        <v>147</v>
      </c>
      <c r="C56" t="s">
        <v>34</v>
      </c>
      <c r="D56">
        <v>21</v>
      </c>
      <c r="E56" t="s">
        <v>29</v>
      </c>
      <c r="F56">
        <v>3087</v>
      </c>
      <c r="G56">
        <v>209</v>
      </c>
      <c r="H56">
        <v>0</v>
      </c>
      <c r="I56">
        <v>28</v>
      </c>
      <c r="J56">
        <v>33</v>
      </c>
      <c r="K56">
        <v>270</v>
      </c>
      <c r="L56">
        <v>8.7463556851311949E-2</v>
      </c>
      <c r="M56">
        <v>0.91253644314868809</v>
      </c>
      <c r="N56">
        <v>0</v>
      </c>
      <c r="O56">
        <v>1</v>
      </c>
      <c r="P56">
        <v>8.7463556851311949E-2</v>
      </c>
      <c r="Q56">
        <v>9</v>
      </c>
      <c r="R56">
        <v>2024</v>
      </c>
      <c r="S56" s="1">
        <v>45536</v>
      </c>
    </row>
    <row r="57" spans="1:19" x14ac:dyDescent="0.3">
      <c r="A57" t="s">
        <v>19</v>
      </c>
      <c r="B57">
        <v>147</v>
      </c>
      <c r="C57" t="s">
        <v>34</v>
      </c>
      <c r="D57">
        <v>23</v>
      </c>
      <c r="E57" t="s">
        <v>30</v>
      </c>
      <c r="F57">
        <v>3381</v>
      </c>
      <c r="G57">
        <v>129</v>
      </c>
      <c r="H57">
        <v>127</v>
      </c>
      <c r="I57">
        <v>46</v>
      </c>
      <c r="J57">
        <v>29</v>
      </c>
      <c r="K57">
        <v>331</v>
      </c>
      <c r="L57">
        <v>9.7900029577048214E-2</v>
      </c>
      <c r="M57">
        <v>0.90209997042295176</v>
      </c>
      <c r="N57">
        <v>0</v>
      </c>
      <c r="O57">
        <v>1</v>
      </c>
      <c r="P57">
        <v>9.7900029577048214E-2</v>
      </c>
      <c r="Q57">
        <v>10</v>
      </c>
      <c r="R57">
        <v>2024</v>
      </c>
      <c r="S57" s="1">
        <v>45566</v>
      </c>
    </row>
    <row r="58" spans="1:19" x14ac:dyDescent="0.3">
      <c r="A58" t="s">
        <v>19</v>
      </c>
      <c r="B58">
        <v>147</v>
      </c>
      <c r="C58" t="s">
        <v>34</v>
      </c>
      <c r="D58">
        <v>21</v>
      </c>
      <c r="E58" t="s">
        <v>31</v>
      </c>
      <c r="F58">
        <v>3087</v>
      </c>
      <c r="G58">
        <v>202</v>
      </c>
      <c r="H58">
        <v>0</v>
      </c>
      <c r="I58">
        <v>54</v>
      </c>
      <c r="J58">
        <v>26</v>
      </c>
      <c r="K58">
        <v>282</v>
      </c>
      <c r="L58">
        <v>9.1350826044703598E-2</v>
      </c>
      <c r="M58">
        <v>0.90864917395529643</v>
      </c>
      <c r="N58">
        <v>0</v>
      </c>
      <c r="O58">
        <v>1</v>
      </c>
      <c r="P58">
        <v>9.1350826044703598E-2</v>
      </c>
      <c r="Q58">
        <v>11</v>
      </c>
      <c r="R58">
        <v>2024</v>
      </c>
      <c r="S58" s="1">
        <v>45597</v>
      </c>
    </row>
    <row r="59" spans="1:19" x14ac:dyDescent="0.3">
      <c r="A59" t="s">
        <v>19</v>
      </c>
      <c r="B59">
        <v>316</v>
      </c>
      <c r="C59" t="s">
        <v>34</v>
      </c>
      <c r="D59">
        <v>26</v>
      </c>
      <c r="E59" t="s">
        <v>32</v>
      </c>
      <c r="F59">
        <v>8216</v>
      </c>
      <c r="G59">
        <v>844</v>
      </c>
      <c r="H59">
        <v>0</v>
      </c>
      <c r="I59">
        <v>113</v>
      </c>
      <c r="J59">
        <v>52</v>
      </c>
      <c r="K59">
        <v>1009</v>
      </c>
      <c r="L59">
        <v>0.12280915287244401</v>
      </c>
      <c r="M59">
        <v>0.87719084712755602</v>
      </c>
      <c r="N59">
        <v>0</v>
      </c>
      <c r="O59">
        <v>1</v>
      </c>
      <c r="P59">
        <v>0.12280915287244401</v>
      </c>
      <c r="Q59">
        <v>12</v>
      </c>
      <c r="R59">
        <v>2024</v>
      </c>
      <c r="S59" s="1">
        <v>45627</v>
      </c>
    </row>
    <row r="60" spans="1:19" x14ac:dyDescent="0.3">
      <c r="A60" t="s">
        <v>19</v>
      </c>
      <c r="B60">
        <v>316</v>
      </c>
      <c r="C60" t="s">
        <v>34</v>
      </c>
      <c r="D60">
        <v>27</v>
      </c>
      <c r="E60" t="s">
        <v>21</v>
      </c>
      <c r="F60">
        <v>8532</v>
      </c>
      <c r="G60">
        <v>845</v>
      </c>
      <c r="H60">
        <v>0</v>
      </c>
      <c r="I60">
        <v>110</v>
      </c>
      <c r="J60">
        <v>15</v>
      </c>
      <c r="K60">
        <v>970</v>
      </c>
      <c r="L60">
        <v>0.1136896390060947</v>
      </c>
      <c r="M60">
        <v>0.88631036099390526</v>
      </c>
      <c r="N60">
        <v>0.11700000000000001</v>
      </c>
      <c r="O60">
        <v>0.88300000000000001</v>
      </c>
      <c r="P60">
        <v>-3.3103609939053036E-3</v>
      </c>
      <c r="Q60">
        <v>1</v>
      </c>
      <c r="R60">
        <v>2025</v>
      </c>
      <c r="S60" s="1">
        <v>45658</v>
      </c>
    </row>
    <row r="61" spans="1:19" x14ac:dyDescent="0.3">
      <c r="A61" t="s">
        <v>19</v>
      </c>
      <c r="B61">
        <v>316</v>
      </c>
      <c r="C61" t="s">
        <v>34</v>
      </c>
      <c r="D61">
        <v>24</v>
      </c>
      <c r="E61" t="s">
        <v>22</v>
      </c>
      <c r="F61">
        <v>7584</v>
      </c>
      <c r="G61">
        <v>1099</v>
      </c>
      <c r="H61">
        <v>0</v>
      </c>
      <c r="I61">
        <v>62</v>
      </c>
      <c r="J61">
        <v>30</v>
      </c>
      <c r="K61">
        <v>1191</v>
      </c>
      <c r="L61">
        <v>0.15704113924050633</v>
      </c>
      <c r="M61">
        <v>0.84295886075949367</v>
      </c>
      <c r="N61">
        <v>0.1038</v>
      </c>
      <c r="O61">
        <v>0.8962</v>
      </c>
      <c r="P61">
        <v>5.324113924050633E-2</v>
      </c>
      <c r="Q61">
        <v>2</v>
      </c>
      <c r="R61">
        <v>2025</v>
      </c>
      <c r="S61" s="1">
        <v>45689</v>
      </c>
    </row>
    <row r="62" spans="1:19" x14ac:dyDescent="0.3">
      <c r="A62" t="s">
        <v>19</v>
      </c>
      <c r="B62">
        <v>316</v>
      </c>
      <c r="C62" t="s">
        <v>34</v>
      </c>
      <c r="D62">
        <v>25</v>
      </c>
      <c r="E62" t="s">
        <v>23</v>
      </c>
      <c r="F62">
        <v>7900</v>
      </c>
      <c r="G62">
        <v>731</v>
      </c>
      <c r="H62">
        <v>0</v>
      </c>
      <c r="I62">
        <v>28</v>
      </c>
      <c r="J62">
        <v>8</v>
      </c>
      <c r="K62">
        <v>767</v>
      </c>
      <c r="L62">
        <v>9.7088607594936704E-2</v>
      </c>
      <c r="M62">
        <v>0.90291139240506335</v>
      </c>
      <c r="N62">
        <v>0.12559999999999999</v>
      </c>
      <c r="O62">
        <v>0.87440000000000007</v>
      </c>
      <c r="P62">
        <v>-2.8511392405063285E-2</v>
      </c>
      <c r="Q62">
        <v>3</v>
      </c>
      <c r="R62">
        <v>2025</v>
      </c>
      <c r="S62" s="1">
        <v>45717</v>
      </c>
    </row>
    <row r="63" spans="1:19" x14ac:dyDescent="0.3">
      <c r="A63" t="s">
        <v>19</v>
      </c>
      <c r="B63">
        <v>316</v>
      </c>
      <c r="C63" t="s">
        <v>34</v>
      </c>
      <c r="D63">
        <v>25</v>
      </c>
      <c r="E63" t="s">
        <v>24</v>
      </c>
      <c r="F63">
        <v>7900</v>
      </c>
      <c r="G63">
        <v>762</v>
      </c>
      <c r="H63">
        <v>0</v>
      </c>
      <c r="I63">
        <v>46</v>
      </c>
      <c r="J63">
        <v>17</v>
      </c>
      <c r="K63">
        <v>825</v>
      </c>
      <c r="L63">
        <v>0.10443037974683544</v>
      </c>
      <c r="M63">
        <v>0.89556962025316456</v>
      </c>
      <c r="N63">
        <v>0.1431</v>
      </c>
      <c r="O63">
        <v>0.8569</v>
      </c>
      <c r="P63">
        <v>-3.8669620253164561E-2</v>
      </c>
      <c r="Q63">
        <v>4</v>
      </c>
      <c r="R63">
        <v>2025</v>
      </c>
      <c r="S63" s="1">
        <v>45748</v>
      </c>
    </row>
    <row r="64" spans="1:19" x14ac:dyDescent="0.3">
      <c r="A64" t="s">
        <v>19</v>
      </c>
      <c r="B64">
        <v>316</v>
      </c>
      <c r="C64" t="s">
        <v>34</v>
      </c>
      <c r="D64">
        <v>25</v>
      </c>
      <c r="E64" t="s">
        <v>25</v>
      </c>
      <c r="F64">
        <v>7900</v>
      </c>
      <c r="G64">
        <v>698</v>
      </c>
      <c r="H64">
        <v>0</v>
      </c>
      <c r="I64">
        <v>32</v>
      </c>
      <c r="J64">
        <v>39</v>
      </c>
      <c r="K64">
        <v>769</v>
      </c>
      <c r="L64">
        <v>9.7341772151898737E-2</v>
      </c>
      <c r="M64">
        <v>0.90265822784810124</v>
      </c>
      <c r="N64">
        <v>0.1583</v>
      </c>
      <c r="O64">
        <v>0.8417</v>
      </c>
      <c r="P64">
        <v>-6.095822784810126E-2</v>
      </c>
      <c r="Q64">
        <v>5</v>
      </c>
      <c r="R64">
        <v>2025</v>
      </c>
      <c r="S64" s="1">
        <v>45778</v>
      </c>
    </row>
    <row r="65" spans="1:19" x14ac:dyDescent="0.3">
      <c r="A65" t="s">
        <v>19</v>
      </c>
      <c r="B65">
        <v>146</v>
      </c>
      <c r="C65" t="s">
        <v>34</v>
      </c>
      <c r="D65">
        <v>5</v>
      </c>
      <c r="E65" t="s">
        <v>26</v>
      </c>
      <c r="F65">
        <v>730</v>
      </c>
      <c r="G65">
        <v>74</v>
      </c>
      <c r="H65">
        <v>0</v>
      </c>
      <c r="I65">
        <v>10</v>
      </c>
      <c r="J65">
        <v>0</v>
      </c>
      <c r="K65">
        <v>84</v>
      </c>
      <c r="L65">
        <v>0.11506849315068493</v>
      </c>
      <c r="M65">
        <v>0.8849315068493151</v>
      </c>
      <c r="N65">
        <v>0.15989999999999999</v>
      </c>
      <c r="O65">
        <v>0.84010000000000007</v>
      </c>
      <c r="P65">
        <v>-4.4831506849315056E-2</v>
      </c>
      <c r="Q65">
        <v>6</v>
      </c>
      <c r="R65">
        <v>2025</v>
      </c>
      <c r="S65" s="1">
        <v>45809</v>
      </c>
    </row>
    <row r="66" spans="1:19" x14ac:dyDescent="0.3">
      <c r="A66" t="s">
        <v>19</v>
      </c>
      <c r="B66">
        <v>146</v>
      </c>
      <c r="C66" t="s">
        <v>34</v>
      </c>
      <c r="D66">
        <v>23</v>
      </c>
      <c r="E66" t="s">
        <v>27</v>
      </c>
      <c r="F66">
        <v>3358</v>
      </c>
      <c r="G66">
        <v>214</v>
      </c>
      <c r="H66">
        <v>11</v>
      </c>
      <c r="I66">
        <v>55</v>
      </c>
      <c r="J66">
        <v>22</v>
      </c>
      <c r="K66">
        <v>302</v>
      </c>
      <c r="L66">
        <v>8.9934484812388332E-2</v>
      </c>
      <c r="M66">
        <v>0.9100655151876117</v>
      </c>
      <c r="N66">
        <v>0.12620000000000001</v>
      </c>
      <c r="O66">
        <v>0.87380000000000002</v>
      </c>
      <c r="P66">
        <v>-3.6265515187611674E-2</v>
      </c>
      <c r="Q66">
        <v>7</v>
      </c>
      <c r="R66">
        <v>2025</v>
      </c>
      <c r="S66" s="1">
        <v>45839</v>
      </c>
    </row>
    <row r="67" spans="1:19" x14ac:dyDescent="0.3">
      <c r="A67" t="s">
        <v>19</v>
      </c>
      <c r="B67">
        <v>147</v>
      </c>
      <c r="C67" t="s">
        <v>34</v>
      </c>
      <c r="D67">
        <v>21</v>
      </c>
      <c r="E67" t="s">
        <v>28</v>
      </c>
      <c r="F67">
        <v>3087</v>
      </c>
      <c r="G67">
        <v>183</v>
      </c>
      <c r="H67">
        <v>0</v>
      </c>
      <c r="I67">
        <v>44</v>
      </c>
      <c r="J67">
        <v>18</v>
      </c>
      <c r="K67">
        <v>245</v>
      </c>
      <c r="L67">
        <v>7.9365079365079361E-2</v>
      </c>
      <c r="M67">
        <v>0.92063492063492069</v>
      </c>
      <c r="N67">
        <v>8.7900000000000006E-2</v>
      </c>
      <c r="O67">
        <v>0.91210000000000002</v>
      </c>
      <c r="P67">
        <v>-8.5349206349206452E-3</v>
      </c>
      <c r="Q67">
        <v>8</v>
      </c>
      <c r="R67">
        <v>2025</v>
      </c>
      <c r="S67" s="1">
        <v>45870</v>
      </c>
    </row>
    <row r="68" spans="1:19" x14ac:dyDescent="0.3">
      <c r="A68" t="s">
        <v>19</v>
      </c>
      <c r="B68">
        <v>147</v>
      </c>
      <c r="C68" t="s">
        <v>34</v>
      </c>
      <c r="D68">
        <v>22</v>
      </c>
      <c r="E68" t="s">
        <v>29</v>
      </c>
      <c r="F68">
        <v>3234</v>
      </c>
      <c r="G68">
        <v>153</v>
      </c>
      <c r="H68">
        <v>0</v>
      </c>
      <c r="I68">
        <v>81</v>
      </c>
      <c r="J68">
        <v>1</v>
      </c>
      <c r="K68">
        <v>235</v>
      </c>
      <c r="L68">
        <v>7.2665429808286955E-2</v>
      </c>
      <c r="M68">
        <v>0.92733457019171306</v>
      </c>
      <c r="N68">
        <v>7.8399999999999997E-2</v>
      </c>
      <c r="O68">
        <v>0.92159999999999997</v>
      </c>
      <c r="P68">
        <v>-5.7345701917130426E-3</v>
      </c>
      <c r="Q68">
        <v>9</v>
      </c>
      <c r="R68">
        <v>2025</v>
      </c>
      <c r="S68" s="1">
        <v>45901</v>
      </c>
    </row>
    <row r="69" spans="1:19" x14ac:dyDescent="0.3">
      <c r="A69" t="s">
        <v>19</v>
      </c>
      <c r="B69">
        <v>147</v>
      </c>
      <c r="C69" t="s">
        <v>34</v>
      </c>
      <c r="D69">
        <v>19</v>
      </c>
      <c r="E69" t="s">
        <v>30</v>
      </c>
      <c r="F69">
        <v>2793</v>
      </c>
      <c r="G69">
        <v>168</v>
      </c>
      <c r="H69">
        <v>0</v>
      </c>
      <c r="I69">
        <v>50</v>
      </c>
      <c r="J69">
        <v>0</v>
      </c>
      <c r="K69">
        <v>218</v>
      </c>
      <c r="L69">
        <v>7.8052273540995351E-2</v>
      </c>
      <c r="M69">
        <v>0.92194772645900469</v>
      </c>
      <c r="N69">
        <v>8.7800000000000003E-2</v>
      </c>
      <c r="O69">
        <v>0.91220000000000001</v>
      </c>
      <c r="P69">
        <v>-9.747726459004652E-3</v>
      </c>
      <c r="Q69">
        <v>10</v>
      </c>
      <c r="R69">
        <v>2025</v>
      </c>
      <c r="S69" s="1">
        <v>45931</v>
      </c>
    </row>
    <row r="70" spans="1:19" x14ac:dyDescent="0.3">
      <c r="A70" t="s">
        <v>19</v>
      </c>
      <c r="B70">
        <v>147</v>
      </c>
      <c r="C70" t="s">
        <v>34</v>
      </c>
      <c r="D70">
        <v>17</v>
      </c>
      <c r="E70" t="s">
        <v>31</v>
      </c>
      <c r="F70">
        <v>2499</v>
      </c>
      <c r="G70">
        <v>228</v>
      </c>
      <c r="H70">
        <v>0</v>
      </c>
      <c r="I70">
        <v>32</v>
      </c>
      <c r="J70">
        <v>0</v>
      </c>
      <c r="K70">
        <v>260</v>
      </c>
      <c r="L70">
        <v>0.10404161664665866</v>
      </c>
      <c r="M70">
        <v>0.89595838335334133</v>
      </c>
      <c r="N70">
        <v>8.1900000000000001E-2</v>
      </c>
      <c r="O70">
        <v>0.91810000000000003</v>
      </c>
      <c r="P70">
        <v>2.214161664665866E-2</v>
      </c>
      <c r="Q70">
        <v>11</v>
      </c>
      <c r="R70">
        <v>2025</v>
      </c>
      <c r="S70" s="1">
        <v>45962</v>
      </c>
    </row>
    <row r="71" spans="1:19" x14ac:dyDescent="0.3">
      <c r="A71" t="s">
        <v>19</v>
      </c>
      <c r="B71">
        <v>211</v>
      </c>
      <c r="C71" t="s">
        <v>20</v>
      </c>
      <c r="D71">
        <v>17</v>
      </c>
      <c r="E71" t="s">
        <v>31</v>
      </c>
      <c r="F71">
        <v>3587</v>
      </c>
      <c r="G71">
        <v>0</v>
      </c>
      <c r="H71">
        <v>14</v>
      </c>
      <c r="I71">
        <v>1</v>
      </c>
      <c r="J71">
        <v>3</v>
      </c>
      <c r="K71">
        <v>18</v>
      </c>
      <c r="L71">
        <v>5.0181209924728184E-3</v>
      </c>
      <c r="M71">
        <v>0.99498187900752721</v>
      </c>
      <c r="N71">
        <v>8.1900000000000001E-2</v>
      </c>
      <c r="O71">
        <v>0.91810000000000003</v>
      </c>
      <c r="P71">
        <v>-7.6881879007527187E-2</v>
      </c>
      <c r="Q71">
        <v>11</v>
      </c>
      <c r="R71">
        <v>2025</v>
      </c>
      <c r="S71" s="1">
        <v>45962</v>
      </c>
    </row>
    <row r="72" spans="1:19" x14ac:dyDescent="0.3">
      <c r="A72" t="s">
        <v>19</v>
      </c>
      <c r="B72">
        <v>316</v>
      </c>
      <c r="C72" t="s">
        <v>34</v>
      </c>
      <c r="D72">
        <v>26</v>
      </c>
      <c r="E72" t="s">
        <v>32</v>
      </c>
      <c r="F72">
        <v>8216</v>
      </c>
      <c r="G72">
        <v>739</v>
      </c>
      <c r="H72">
        <v>0</v>
      </c>
      <c r="I72">
        <v>147</v>
      </c>
      <c r="J72">
        <v>38</v>
      </c>
      <c r="K72">
        <v>924</v>
      </c>
      <c r="L72">
        <v>0.1124634858812074</v>
      </c>
      <c r="M72">
        <v>0.88753651411879264</v>
      </c>
      <c r="N72">
        <v>0.1101</v>
      </c>
      <c r="O72">
        <v>0.88990000000000002</v>
      </c>
      <c r="P72">
        <v>2.3634858812073972E-3</v>
      </c>
      <c r="Q72">
        <v>12</v>
      </c>
      <c r="R72">
        <v>2025</v>
      </c>
      <c r="S72" s="1">
        <v>45992</v>
      </c>
    </row>
    <row r="73" spans="1:19" x14ac:dyDescent="0.3">
      <c r="A73" t="s">
        <v>19</v>
      </c>
      <c r="B73">
        <v>268</v>
      </c>
      <c r="C73" t="s">
        <v>20</v>
      </c>
      <c r="D73">
        <v>26</v>
      </c>
      <c r="E73" t="s">
        <v>32</v>
      </c>
      <c r="F73">
        <v>6968</v>
      </c>
      <c r="G73">
        <v>0</v>
      </c>
      <c r="H73">
        <v>2</v>
      </c>
      <c r="I73">
        <v>26</v>
      </c>
      <c r="J73">
        <v>0</v>
      </c>
      <c r="K73">
        <v>28</v>
      </c>
      <c r="L73">
        <v>4.018369690011481E-3</v>
      </c>
      <c r="M73">
        <v>0.99598163030998854</v>
      </c>
      <c r="N73">
        <v>0.1101</v>
      </c>
      <c r="O73">
        <v>0.88990000000000002</v>
      </c>
      <c r="P73">
        <v>-0.10608163030998852</v>
      </c>
      <c r="Q73">
        <v>12</v>
      </c>
      <c r="R73">
        <v>2025</v>
      </c>
      <c r="S73" s="1">
        <v>45992</v>
      </c>
    </row>
    <row r="74" spans="1:19" x14ac:dyDescent="0.3">
      <c r="A74" t="s">
        <v>19</v>
      </c>
      <c r="B74">
        <v>316</v>
      </c>
      <c r="C74" t="s">
        <v>34</v>
      </c>
      <c r="D74">
        <v>23</v>
      </c>
      <c r="E74" t="s">
        <v>21</v>
      </c>
      <c r="F74">
        <v>7268</v>
      </c>
      <c r="G74">
        <v>1064</v>
      </c>
      <c r="H74">
        <v>0</v>
      </c>
      <c r="I74">
        <v>124</v>
      </c>
      <c r="J74">
        <v>10</v>
      </c>
      <c r="K74">
        <v>1198</v>
      </c>
      <c r="L74">
        <v>0.16483214089157952</v>
      </c>
      <c r="M74">
        <v>0.83516785910842051</v>
      </c>
      <c r="N74">
        <v>0.11169999999999999</v>
      </c>
      <c r="O74">
        <v>0.88829999999999998</v>
      </c>
      <c r="P74">
        <v>5.3132140891579527E-2</v>
      </c>
      <c r="Q74">
        <v>1</v>
      </c>
      <c r="R74">
        <v>2026</v>
      </c>
      <c r="S74" s="1">
        <v>46023</v>
      </c>
    </row>
    <row r="75" spans="1:19" x14ac:dyDescent="0.3">
      <c r="A75" t="s">
        <v>19</v>
      </c>
      <c r="B75">
        <v>213</v>
      </c>
      <c r="C75" t="s">
        <v>20</v>
      </c>
      <c r="D75">
        <v>23</v>
      </c>
      <c r="E75" t="s">
        <v>21</v>
      </c>
      <c r="F75">
        <v>4899</v>
      </c>
      <c r="G75">
        <v>0</v>
      </c>
      <c r="H75">
        <v>0</v>
      </c>
      <c r="I75">
        <v>27</v>
      </c>
      <c r="J75">
        <v>0</v>
      </c>
      <c r="K75">
        <v>27</v>
      </c>
      <c r="L75">
        <v>5.5113288426209429E-3</v>
      </c>
      <c r="M75">
        <v>0.99448867115737904</v>
      </c>
      <c r="N75">
        <v>0.11169999999999999</v>
      </c>
      <c r="O75">
        <v>0.88829999999999998</v>
      </c>
      <c r="P75">
        <v>-0.10618867115737905</v>
      </c>
      <c r="Q75">
        <v>1</v>
      </c>
      <c r="R75">
        <v>2026</v>
      </c>
      <c r="S75" s="1">
        <v>46023</v>
      </c>
    </row>
    <row r="76" spans="1:19" x14ac:dyDescent="0.3">
      <c r="A76" t="s">
        <v>19</v>
      </c>
      <c r="B76">
        <v>316</v>
      </c>
      <c r="C76" t="s">
        <v>34</v>
      </c>
      <c r="D76">
        <v>24</v>
      </c>
      <c r="E76" t="s">
        <v>22</v>
      </c>
      <c r="F76">
        <v>7584</v>
      </c>
      <c r="G76">
        <v>565</v>
      </c>
      <c r="H76">
        <v>0</v>
      </c>
      <c r="I76">
        <v>115</v>
      </c>
      <c r="J76">
        <v>49</v>
      </c>
      <c r="K76">
        <v>729</v>
      </c>
      <c r="L76">
        <v>9.6123417721518986E-2</v>
      </c>
      <c r="M76">
        <v>0.903876582278481</v>
      </c>
      <c r="N76">
        <v>0.15429999999999999</v>
      </c>
      <c r="O76">
        <v>0.84570000000000001</v>
      </c>
      <c r="P76">
        <v>-5.8176582278481007E-2</v>
      </c>
      <c r="Q76">
        <v>2</v>
      </c>
      <c r="R76">
        <v>2026</v>
      </c>
      <c r="S76" s="1">
        <v>46054</v>
      </c>
    </row>
    <row r="77" spans="1:19" x14ac:dyDescent="0.3">
      <c r="A77" t="s">
        <v>19</v>
      </c>
      <c r="B77">
        <v>216</v>
      </c>
      <c r="C77" t="s">
        <v>20</v>
      </c>
      <c r="D77">
        <v>24</v>
      </c>
      <c r="E77" t="s">
        <v>22</v>
      </c>
      <c r="F77">
        <v>5184</v>
      </c>
      <c r="G77">
        <v>0</v>
      </c>
      <c r="H77">
        <v>3</v>
      </c>
      <c r="I77">
        <v>22</v>
      </c>
      <c r="J77">
        <v>0</v>
      </c>
      <c r="K77">
        <v>25</v>
      </c>
      <c r="L77">
        <v>4.8225308641975306E-3</v>
      </c>
      <c r="M77">
        <v>0.99517746913580252</v>
      </c>
      <c r="N77">
        <v>0.15429999999999999</v>
      </c>
      <c r="O77">
        <v>0.84570000000000001</v>
      </c>
      <c r="P77">
        <v>-0.14947746913580245</v>
      </c>
      <c r="Q77">
        <v>2</v>
      </c>
      <c r="R77">
        <v>2026</v>
      </c>
      <c r="S77" s="1">
        <v>46054</v>
      </c>
    </row>
    <row r="78" spans="1:19" x14ac:dyDescent="0.3">
      <c r="A78" t="s">
        <v>19</v>
      </c>
      <c r="B78">
        <v>316</v>
      </c>
      <c r="C78" t="s">
        <v>34</v>
      </c>
      <c r="D78">
        <v>26</v>
      </c>
      <c r="E78" t="s">
        <v>23</v>
      </c>
      <c r="F78">
        <v>8216</v>
      </c>
      <c r="G78">
        <v>744</v>
      </c>
      <c r="H78">
        <v>0</v>
      </c>
      <c r="I78">
        <v>97</v>
      </c>
      <c r="J78">
        <v>36</v>
      </c>
      <c r="K78">
        <v>877</v>
      </c>
      <c r="L78">
        <v>0.1067429406037001</v>
      </c>
      <c r="M78">
        <v>0.89325705939629985</v>
      </c>
      <c r="N78">
        <v>9.5399999999999999E-2</v>
      </c>
      <c r="O78">
        <v>0.90459999999999996</v>
      </c>
      <c r="P78">
        <v>1.13429406037001E-2</v>
      </c>
      <c r="Q78">
        <v>3</v>
      </c>
      <c r="R78">
        <v>2026</v>
      </c>
      <c r="S78" s="1">
        <v>46082</v>
      </c>
    </row>
    <row r="79" spans="1:19" x14ac:dyDescent="0.3">
      <c r="A79" t="s">
        <v>19</v>
      </c>
      <c r="B79">
        <v>220</v>
      </c>
      <c r="C79" t="s">
        <v>20</v>
      </c>
      <c r="D79">
        <v>26</v>
      </c>
      <c r="E79" t="s">
        <v>23</v>
      </c>
      <c r="F79">
        <v>5720</v>
      </c>
      <c r="G79">
        <v>0</v>
      </c>
      <c r="H79">
        <v>0</v>
      </c>
      <c r="I79">
        <v>37</v>
      </c>
      <c r="J79">
        <v>0</v>
      </c>
      <c r="K79">
        <v>37</v>
      </c>
      <c r="L79">
        <v>6.4685314685314684E-3</v>
      </c>
      <c r="M79">
        <v>0.99353146853146856</v>
      </c>
      <c r="N79">
        <v>9.5399999999999999E-2</v>
      </c>
      <c r="O79">
        <v>0.90459999999999996</v>
      </c>
      <c r="P79">
        <v>-8.8931468531468535E-2</v>
      </c>
      <c r="Q79">
        <v>3</v>
      </c>
      <c r="R79">
        <v>2026</v>
      </c>
      <c r="S79" s="1">
        <v>46082</v>
      </c>
    </row>
    <row r="80" spans="1:19" x14ac:dyDescent="0.3">
      <c r="A80" t="s">
        <v>19</v>
      </c>
      <c r="B80">
        <v>316</v>
      </c>
      <c r="C80" t="s">
        <v>34</v>
      </c>
      <c r="D80">
        <v>26</v>
      </c>
      <c r="E80" t="s">
        <v>24</v>
      </c>
      <c r="F80">
        <v>8216</v>
      </c>
      <c r="G80">
        <v>793</v>
      </c>
      <c r="H80">
        <v>0</v>
      </c>
      <c r="I80">
        <v>137</v>
      </c>
      <c r="J80">
        <v>52</v>
      </c>
      <c r="K80">
        <v>982</v>
      </c>
      <c r="L80">
        <v>0.11952288218111003</v>
      </c>
      <c r="M80">
        <v>0.88047711781888993</v>
      </c>
      <c r="N80">
        <v>0.1026</v>
      </c>
      <c r="O80">
        <v>0.89739999999999998</v>
      </c>
      <c r="P80">
        <v>1.692288218111003E-2</v>
      </c>
      <c r="Q80">
        <v>4</v>
      </c>
      <c r="R80">
        <v>2026</v>
      </c>
      <c r="S80" s="1">
        <v>46113</v>
      </c>
    </row>
    <row r="81" spans="1:19" x14ac:dyDescent="0.3">
      <c r="A81" t="s">
        <v>19</v>
      </c>
      <c r="B81">
        <v>218</v>
      </c>
      <c r="C81" t="s">
        <v>20</v>
      </c>
      <c r="D81">
        <v>26</v>
      </c>
      <c r="E81" t="s">
        <v>24</v>
      </c>
      <c r="F81">
        <v>5668</v>
      </c>
      <c r="G81">
        <v>0</v>
      </c>
      <c r="H81">
        <v>0</v>
      </c>
      <c r="I81">
        <v>75</v>
      </c>
      <c r="J81">
        <v>0</v>
      </c>
      <c r="K81">
        <v>75</v>
      </c>
      <c r="L81">
        <v>1.3232180663373325E-2</v>
      </c>
      <c r="M81">
        <v>0.98676781933662672</v>
      </c>
      <c r="N81">
        <v>0.1026</v>
      </c>
      <c r="O81">
        <v>0.89739999999999998</v>
      </c>
      <c r="P81">
        <v>-8.9367819336626672E-2</v>
      </c>
      <c r="Q81">
        <v>4</v>
      </c>
      <c r="R81">
        <v>2026</v>
      </c>
      <c r="S81" s="1">
        <v>46113</v>
      </c>
    </row>
    <row r="82" spans="1:19" x14ac:dyDescent="0.3">
      <c r="A82" t="s">
        <v>19</v>
      </c>
      <c r="C82" t="s">
        <v>34</v>
      </c>
      <c r="E82" t="s">
        <v>25</v>
      </c>
      <c r="N82">
        <v>9.5699999999999993E-2</v>
      </c>
      <c r="O82">
        <v>0.90429999999999999</v>
      </c>
      <c r="Q82">
        <v>5</v>
      </c>
      <c r="R82">
        <v>2026</v>
      </c>
      <c r="S82" s="1">
        <v>46143</v>
      </c>
    </row>
    <row r="83" spans="1:19" x14ac:dyDescent="0.3">
      <c r="A83" t="s">
        <v>19</v>
      </c>
      <c r="C83" t="s">
        <v>20</v>
      </c>
      <c r="E83" t="s">
        <v>25</v>
      </c>
      <c r="N83">
        <v>9.5699999999999993E-2</v>
      </c>
      <c r="O83">
        <v>0.90429999999999999</v>
      </c>
      <c r="Q83">
        <v>5</v>
      </c>
      <c r="R83">
        <v>2026</v>
      </c>
      <c r="S83" s="1">
        <v>46143</v>
      </c>
    </row>
    <row r="84" spans="1:19" x14ac:dyDescent="0.3">
      <c r="A84" t="s">
        <v>19</v>
      </c>
      <c r="C84" t="s">
        <v>34</v>
      </c>
      <c r="E84" t="s">
        <v>26</v>
      </c>
      <c r="N84">
        <v>0.11310000000000001</v>
      </c>
      <c r="O84">
        <v>0.88690000000000002</v>
      </c>
      <c r="Q84">
        <v>6</v>
      </c>
      <c r="R84">
        <v>2026</v>
      </c>
      <c r="S84" s="1">
        <v>46174</v>
      </c>
    </row>
    <row r="85" spans="1:19" x14ac:dyDescent="0.3">
      <c r="A85" t="s">
        <v>19</v>
      </c>
      <c r="C85" t="s">
        <v>20</v>
      </c>
      <c r="E85" t="s">
        <v>26</v>
      </c>
      <c r="N85">
        <v>0.11310000000000001</v>
      </c>
      <c r="O85">
        <v>0.88690000000000002</v>
      </c>
      <c r="Q85">
        <v>6</v>
      </c>
      <c r="R85">
        <v>2026</v>
      </c>
      <c r="S85" s="1">
        <v>46174</v>
      </c>
    </row>
    <row r="86" spans="1:19" x14ac:dyDescent="0.3">
      <c r="A86" t="s">
        <v>19</v>
      </c>
      <c r="C86" t="s">
        <v>34</v>
      </c>
      <c r="E86" t="s">
        <v>27</v>
      </c>
      <c r="N86">
        <v>8.8300000000000003E-2</v>
      </c>
      <c r="O86">
        <v>0.91169999999999995</v>
      </c>
      <c r="Q86">
        <v>7</v>
      </c>
      <c r="R86">
        <v>2026</v>
      </c>
      <c r="S86" s="1">
        <v>46204</v>
      </c>
    </row>
    <row r="87" spans="1:19" x14ac:dyDescent="0.3">
      <c r="A87" t="s">
        <v>19</v>
      </c>
      <c r="C87" t="s">
        <v>20</v>
      </c>
      <c r="E87" t="s">
        <v>27</v>
      </c>
      <c r="N87">
        <v>8.8300000000000003E-2</v>
      </c>
      <c r="O87">
        <v>0.91169999999999995</v>
      </c>
      <c r="Q87">
        <v>7</v>
      </c>
      <c r="R87">
        <v>2026</v>
      </c>
      <c r="S87" s="1">
        <v>46204</v>
      </c>
    </row>
    <row r="88" spans="1:19" x14ac:dyDescent="0.3">
      <c r="A88" t="s">
        <v>19</v>
      </c>
      <c r="C88" t="s">
        <v>34</v>
      </c>
      <c r="E88" t="s">
        <v>28</v>
      </c>
      <c r="N88">
        <v>7.8E-2</v>
      </c>
      <c r="O88">
        <v>0.92200000000000004</v>
      </c>
      <c r="Q88">
        <v>8</v>
      </c>
      <c r="R88">
        <v>2026</v>
      </c>
      <c r="S88" s="1">
        <v>46235</v>
      </c>
    </row>
    <row r="89" spans="1:19" x14ac:dyDescent="0.3">
      <c r="A89" t="s">
        <v>19</v>
      </c>
      <c r="C89" t="s">
        <v>20</v>
      </c>
      <c r="E89" t="s">
        <v>28</v>
      </c>
      <c r="N89">
        <v>7.8E-2</v>
      </c>
      <c r="O89">
        <v>0.92200000000000004</v>
      </c>
      <c r="Q89">
        <v>8</v>
      </c>
      <c r="R89">
        <v>2026</v>
      </c>
      <c r="S89" s="1">
        <v>46235</v>
      </c>
    </row>
    <row r="90" spans="1:19" x14ac:dyDescent="0.3">
      <c r="A90" t="s">
        <v>19</v>
      </c>
      <c r="C90" t="s">
        <v>34</v>
      </c>
      <c r="E90" t="s">
        <v>29</v>
      </c>
      <c r="N90">
        <v>7.1400000000000005E-2</v>
      </c>
      <c r="O90">
        <v>0.92859999999999998</v>
      </c>
      <c r="Q90">
        <v>9</v>
      </c>
      <c r="R90">
        <v>2026</v>
      </c>
      <c r="S90" s="1">
        <v>46266</v>
      </c>
    </row>
    <row r="91" spans="1:19" x14ac:dyDescent="0.3">
      <c r="A91" t="s">
        <v>19</v>
      </c>
      <c r="C91" t="s">
        <v>20</v>
      </c>
      <c r="E91" t="s">
        <v>29</v>
      </c>
      <c r="N91">
        <v>7.1400000000000005E-2</v>
      </c>
      <c r="O91">
        <v>0.92859999999999998</v>
      </c>
      <c r="Q91">
        <v>9</v>
      </c>
      <c r="R91">
        <v>2026</v>
      </c>
      <c r="S91" s="1">
        <v>46266</v>
      </c>
    </row>
    <row r="92" spans="1:19" x14ac:dyDescent="0.3">
      <c r="A92" t="s">
        <v>19</v>
      </c>
      <c r="C92" t="s">
        <v>34</v>
      </c>
      <c r="E92" t="s">
        <v>30</v>
      </c>
      <c r="N92">
        <v>7.6700000000000004E-2</v>
      </c>
      <c r="O92">
        <v>0.92330000000000001</v>
      </c>
      <c r="Q92">
        <v>10</v>
      </c>
      <c r="R92">
        <v>2026</v>
      </c>
      <c r="S92" s="1">
        <v>46296</v>
      </c>
    </row>
    <row r="93" spans="1:19" x14ac:dyDescent="0.3">
      <c r="A93" t="s">
        <v>19</v>
      </c>
      <c r="C93" t="s">
        <v>20</v>
      </c>
      <c r="E93" t="s">
        <v>30</v>
      </c>
      <c r="N93">
        <v>7.6700000000000004E-2</v>
      </c>
      <c r="O93">
        <v>0.92330000000000001</v>
      </c>
      <c r="Q93">
        <v>10</v>
      </c>
      <c r="R93">
        <v>2026</v>
      </c>
      <c r="S93" s="1">
        <v>46296</v>
      </c>
    </row>
    <row r="94" spans="1:19" x14ac:dyDescent="0.3">
      <c r="A94" t="s">
        <v>19</v>
      </c>
      <c r="C94" t="s">
        <v>34</v>
      </c>
      <c r="E94" t="s">
        <v>31</v>
      </c>
      <c r="N94">
        <v>0.1022</v>
      </c>
      <c r="O94">
        <v>0.89780000000000004</v>
      </c>
      <c r="Q94">
        <v>11</v>
      </c>
      <c r="R94">
        <v>2026</v>
      </c>
      <c r="S94" s="1">
        <v>46327</v>
      </c>
    </row>
    <row r="95" spans="1:19" x14ac:dyDescent="0.3">
      <c r="A95" t="s">
        <v>19</v>
      </c>
      <c r="C95" t="s">
        <v>20</v>
      </c>
      <c r="E95" t="s">
        <v>31</v>
      </c>
      <c r="N95">
        <v>0.1022</v>
      </c>
      <c r="O95">
        <v>0.89780000000000004</v>
      </c>
      <c r="Q95">
        <v>11</v>
      </c>
      <c r="R95">
        <v>2026</v>
      </c>
      <c r="S95" s="1">
        <v>46327</v>
      </c>
    </row>
    <row r="96" spans="1:19" x14ac:dyDescent="0.3">
      <c r="A96" t="s">
        <v>19</v>
      </c>
      <c r="C96" t="s">
        <v>34</v>
      </c>
      <c r="E96" t="s">
        <v>32</v>
      </c>
      <c r="N96">
        <v>0.1106</v>
      </c>
      <c r="O96">
        <v>0.88939999999999997</v>
      </c>
      <c r="Q96">
        <v>12</v>
      </c>
      <c r="R96">
        <v>2026</v>
      </c>
      <c r="S96" s="1">
        <v>46357</v>
      </c>
    </row>
    <row r="97" spans="1:19" x14ac:dyDescent="0.3">
      <c r="A97" t="s">
        <v>19</v>
      </c>
      <c r="C97" t="s">
        <v>20</v>
      </c>
      <c r="E97" t="s">
        <v>32</v>
      </c>
      <c r="N97">
        <v>0.1106</v>
      </c>
      <c r="O97">
        <v>0.88939999999999997</v>
      </c>
      <c r="Q97">
        <v>12</v>
      </c>
      <c r="R97">
        <v>2026</v>
      </c>
      <c r="S97" s="1">
        <v>46357</v>
      </c>
    </row>
    <row r="98" spans="1:19" x14ac:dyDescent="0.3">
      <c r="A98" t="s">
        <v>35</v>
      </c>
      <c r="B98">
        <v>112</v>
      </c>
      <c r="C98" t="s">
        <v>20</v>
      </c>
      <c r="D98">
        <v>26</v>
      </c>
      <c r="E98" t="s">
        <v>21</v>
      </c>
      <c r="F98">
        <v>2912</v>
      </c>
      <c r="G98">
        <v>0</v>
      </c>
      <c r="H98">
        <v>0</v>
      </c>
      <c r="I98">
        <v>42</v>
      </c>
      <c r="J98">
        <v>0</v>
      </c>
      <c r="K98">
        <v>42</v>
      </c>
      <c r="L98">
        <v>1.4423076923076924E-2</v>
      </c>
      <c r="M98">
        <v>0.98557692307692313</v>
      </c>
      <c r="N98">
        <v>0</v>
      </c>
      <c r="O98">
        <v>1</v>
      </c>
      <c r="P98">
        <v>1.4423076923076924E-2</v>
      </c>
      <c r="Q98">
        <v>1</v>
      </c>
      <c r="R98">
        <v>2023</v>
      </c>
      <c r="S98" s="1">
        <v>44927</v>
      </c>
    </row>
    <row r="99" spans="1:19" x14ac:dyDescent="0.3">
      <c r="A99" t="s">
        <v>35</v>
      </c>
      <c r="B99">
        <v>112</v>
      </c>
      <c r="C99" t="s">
        <v>20</v>
      </c>
      <c r="D99">
        <v>23</v>
      </c>
      <c r="E99" t="s">
        <v>22</v>
      </c>
      <c r="F99">
        <v>2576</v>
      </c>
      <c r="G99">
        <v>0</v>
      </c>
      <c r="H99">
        <v>0</v>
      </c>
      <c r="I99">
        <v>48</v>
      </c>
      <c r="J99">
        <v>0</v>
      </c>
      <c r="K99">
        <v>48</v>
      </c>
      <c r="L99">
        <v>1.8633540372670808E-2</v>
      </c>
      <c r="M99">
        <v>0.98136645962732916</v>
      </c>
      <c r="N99">
        <v>0</v>
      </c>
      <c r="O99">
        <v>1</v>
      </c>
      <c r="P99">
        <v>1.8633540372670808E-2</v>
      </c>
      <c r="Q99">
        <v>2</v>
      </c>
      <c r="R99">
        <v>2023</v>
      </c>
      <c r="S99" s="1">
        <v>44958</v>
      </c>
    </row>
    <row r="100" spans="1:19" x14ac:dyDescent="0.3">
      <c r="A100" t="s">
        <v>35</v>
      </c>
      <c r="B100">
        <v>111</v>
      </c>
      <c r="C100" t="s">
        <v>20</v>
      </c>
      <c r="D100">
        <v>26</v>
      </c>
      <c r="E100" t="s">
        <v>23</v>
      </c>
      <c r="F100">
        <v>2886</v>
      </c>
      <c r="G100">
        <v>0</v>
      </c>
      <c r="H100">
        <v>0</v>
      </c>
      <c r="I100">
        <v>42</v>
      </c>
      <c r="J100">
        <v>12</v>
      </c>
      <c r="K100">
        <v>54</v>
      </c>
      <c r="L100">
        <v>1.8711018711018712E-2</v>
      </c>
      <c r="M100">
        <v>0.98128898128898134</v>
      </c>
      <c r="N100">
        <v>0</v>
      </c>
      <c r="O100">
        <v>1</v>
      </c>
      <c r="P100">
        <v>1.8711018711018712E-2</v>
      </c>
      <c r="Q100">
        <v>3</v>
      </c>
      <c r="R100">
        <v>2023</v>
      </c>
      <c r="S100" s="1">
        <v>44986</v>
      </c>
    </row>
    <row r="101" spans="1:19" x14ac:dyDescent="0.3">
      <c r="A101" t="s">
        <v>35</v>
      </c>
      <c r="B101">
        <v>111</v>
      </c>
      <c r="C101" t="s">
        <v>20</v>
      </c>
      <c r="D101">
        <v>24</v>
      </c>
      <c r="E101" t="s">
        <v>24</v>
      </c>
      <c r="F101">
        <v>2664</v>
      </c>
      <c r="G101">
        <v>0</v>
      </c>
      <c r="H101">
        <v>0</v>
      </c>
      <c r="I101">
        <v>12</v>
      </c>
      <c r="J101">
        <v>24</v>
      </c>
      <c r="K101">
        <v>36</v>
      </c>
      <c r="L101">
        <v>1.3513513513513514E-2</v>
      </c>
      <c r="M101">
        <v>0.98648648648648651</v>
      </c>
      <c r="N101">
        <v>0</v>
      </c>
      <c r="O101">
        <v>1</v>
      </c>
      <c r="P101">
        <v>1.3513513513513514E-2</v>
      </c>
      <c r="Q101">
        <v>4</v>
      </c>
      <c r="R101">
        <v>2023</v>
      </c>
      <c r="S101" s="1">
        <v>45017</v>
      </c>
    </row>
    <row r="102" spans="1:19" x14ac:dyDescent="0.3">
      <c r="A102" t="s">
        <v>35</v>
      </c>
      <c r="B102">
        <v>111</v>
      </c>
      <c r="C102" t="s">
        <v>20</v>
      </c>
      <c r="D102">
        <v>15</v>
      </c>
      <c r="E102" t="s">
        <v>25</v>
      </c>
      <c r="F102">
        <v>1665</v>
      </c>
      <c r="G102">
        <v>0</v>
      </c>
      <c r="H102">
        <v>0</v>
      </c>
      <c r="I102">
        <v>5</v>
      </c>
      <c r="J102">
        <v>31</v>
      </c>
      <c r="K102">
        <v>36</v>
      </c>
      <c r="L102">
        <v>2.1621621621621623E-2</v>
      </c>
      <c r="M102">
        <v>0.97837837837837838</v>
      </c>
      <c r="N102">
        <v>0</v>
      </c>
      <c r="O102">
        <v>1</v>
      </c>
      <c r="P102">
        <v>2.1621621621621623E-2</v>
      </c>
      <c r="Q102">
        <v>5</v>
      </c>
      <c r="R102">
        <v>2023</v>
      </c>
      <c r="S102" s="1">
        <v>45047</v>
      </c>
    </row>
    <row r="103" spans="1:19" x14ac:dyDescent="0.3">
      <c r="A103" t="s">
        <v>35</v>
      </c>
      <c r="B103">
        <v>90</v>
      </c>
      <c r="C103" t="s">
        <v>20</v>
      </c>
      <c r="D103">
        <v>22</v>
      </c>
      <c r="E103" t="s">
        <v>26</v>
      </c>
      <c r="F103">
        <v>1980</v>
      </c>
      <c r="G103">
        <v>0</v>
      </c>
      <c r="H103">
        <v>0</v>
      </c>
      <c r="I103">
        <v>6</v>
      </c>
      <c r="J103">
        <v>0</v>
      </c>
      <c r="K103">
        <v>6</v>
      </c>
      <c r="L103">
        <v>3.0303030303030303E-3</v>
      </c>
      <c r="M103">
        <v>0.99696969696969695</v>
      </c>
      <c r="N103">
        <v>0</v>
      </c>
      <c r="O103">
        <v>1</v>
      </c>
      <c r="P103">
        <v>3.0303030303030303E-3</v>
      </c>
      <c r="Q103">
        <v>6</v>
      </c>
      <c r="R103">
        <v>2023</v>
      </c>
      <c r="S103" s="1">
        <v>45078</v>
      </c>
    </row>
    <row r="104" spans="1:19" x14ac:dyDescent="0.3">
      <c r="A104" t="s">
        <v>35</v>
      </c>
      <c r="B104">
        <v>87</v>
      </c>
      <c r="C104" t="s">
        <v>20</v>
      </c>
      <c r="D104">
        <v>21</v>
      </c>
      <c r="E104" t="s">
        <v>27</v>
      </c>
      <c r="F104">
        <v>1827</v>
      </c>
      <c r="G104">
        <v>0</v>
      </c>
      <c r="H104">
        <v>1</v>
      </c>
      <c r="I104">
        <v>0</v>
      </c>
      <c r="J104">
        <v>1</v>
      </c>
      <c r="K104">
        <v>2</v>
      </c>
      <c r="L104">
        <v>1.0946907498631637E-3</v>
      </c>
      <c r="M104">
        <v>0.99890530925013687</v>
      </c>
      <c r="N104">
        <v>0</v>
      </c>
      <c r="O104">
        <v>1</v>
      </c>
      <c r="P104">
        <v>1.0946907498631637E-3</v>
      </c>
      <c r="Q104">
        <v>7</v>
      </c>
      <c r="R104">
        <v>2023</v>
      </c>
      <c r="S104" s="1">
        <v>45108</v>
      </c>
    </row>
    <row r="105" spans="1:19" x14ac:dyDescent="0.3">
      <c r="A105" t="s">
        <v>35</v>
      </c>
      <c r="B105">
        <v>83</v>
      </c>
      <c r="C105" t="s">
        <v>20</v>
      </c>
      <c r="D105">
        <v>23</v>
      </c>
      <c r="E105" t="s">
        <v>28</v>
      </c>
      <c r="F105">
        <v>1909</v>
      </c>
      <c r="G105">
        <v>0</v>
      </c>
      <c r="H105">
        <v>0</v>
      </c>
      <c r="I105">
        <v>2</v>
      </c>
      <c r="J105">
        <v>0</v>
      </c>
      <c r="K105">
        <v>2</v>
      </c>
      <c r="L105">
        <v>1.0476689366160294E-3</v>
      </c>
      <c r="M105">
        <v>0.99895233106338399</v>
      </c>
      <c r="N105">
        <v>0</v>
      </c>
      <c r="O105">
        <v>1</v>
      </c>
      <c r="P105">
        <v>1.0476689366160294E-3</v>
      </c>
      <c r="Q105">
        <v>8</v>
      </c>
      <c r="R105">
        <v>2023</v>
      </c>
      <c r="S105" s="1">
        <v>45139</v>
      </c>
    </row>
    <row r="106" spans="1:19" x14ac:dyDescent="0.3">
      <c r="A106" t="s">
        <v>35</v>
      </c>
      <c r="B106">
        <v>86</v>
      </c>
      <c r="C106" t="s">
        <v>20</v>
      </c>
      <c r="D106">
        <v>20</v>
      </c>
      <c r="E106" t="s">
        <v>29</v>
      </c>
      <c r="F106">
        <v>1720</v>
      </c>
      <c r="G106">
        <v>0</v>
      </c>
      <c r="H106">
        <v>0</v>
      </c>
      <c r="I106">
        <v>17</v>
      </c>
      <c r="J106">
        <v>31</v>
      </c>
      <c r="K106">
        <v>48</v>
      </c>
      <c r="L106">
        <v>2.7906976744186046E-2</v>
      </c>
      <c r="M106">
        <v>0.97209302325581393</v>
      </c>
      <c r="N106">
        <v>0</v>
      </c>
      <c r="O106">
        <v>1</v>
      </c>
      <c r="P106">
        <v>2.7906976744186046E-2</v>
      </c>
      <c r="Q106">
        <v>9</v>
      </c>
      <c r="R106">
        <v>2023</v>
      </c>
      <c r="S106" s="1">
        <v>45170</v>
      </c>
    </row>
    <row r="107" spans="1:19" x14ac:dyDescent="0.3">
      <c r="A107" t="s">
        <v>35</v>
      </c>
      <c r="B107">
        <v>92</v>
      </c>
      <c r="C107" t="s">
        <v>20</v>
      </c>
      <c r="D107">
        <v>21</v>
      </c>
      <c r="E107" t="s">
        <v>30</v>
      </c>
      <c r="F107">
        <v>1932</v>
      </c>
      <c r="G107">
        <v>0</v>
      </c>
      <c r="H107">
        <v>0</v>
      </c>
      <c r="I107">
        <v>0</v>
      </c>
      <c r="J107">
        <v>42</v>
      </c>
      <c r="K107">
        <v>42</v>
      </c>
      <c r="L107">
        <v>2.1739130434782608E-2</v>
      </c>
      <c r="M107">
        <v>0.97826086956521741</v>
      </c>
      <c r="N107">
        <v>0</v>
      </c>
      <c r="O107">
        <v>1</v>
      </c>
      <c r="P107">
        <v>2.1739130434782608E-2</v>
      </c>
      <c r="Q107">
        <v>10</v>
      </c>
      <c r="R107">
        <v>2023</v>
      </c>
      <c r="S107" s="1">
        <v>45200</v>
      </c>
    </row>
    <row r="108" spans="1:19" x14ac:dyDescent="0.3">
      <c r="A108" t="s">
        <v>35</v>
      </c>
      <c r="B108">
        <v>108</v>
      </c>
      <c r="C108" t="s">
        <v>20</v>
      </c>
      <c r="D108">
        <v>23</v>
      </c>
      <c r="E108" t="s">
        <v>31</v>
      </c>
      <c r="F108">
        <v>2484</v>
      </c>
      <c r="G108">
        <v>0</v>
      </c>
      <c r="H108">
        <v>0</v>
      </c>
      <c r="I108">
        <v>46</v>
      </c>
      <c r="J108">
        <v>0</v>
      </c>
      <c r="K108">
        <v>46</v>
      </c>
      <c r="L108">
        <v>1.8518518518518517E-2</v>
      </c>
      <c r="M108">
        <v>0.98148148148148151</v>
      </c>
      <c r="N108">
        <v>0</v>
      </c>
      <c r="O108">
        <v>1</v>
      </c>
      <c r="P108">
        <v>1.8518518518518517E-2</v>
      </c>
      <c r="Q108">
        <v>11</v>
      </c>
      <c r="R108">
        <v>2023</v>
      </c>
      <c r="S108" s="1">
        <v>45231</v>
      </c>
    </row>
    <row r="109" spans="1:19" x14ac:dyDescent="0.3">
      <c r="A109" t="s">
        <v>35</v>
      </c>
      <c r="B109">
        <v>108</v>
      </c>
      <c r="C109" t="s">
        <v>20</v>
      </c>
      <c r="D109">
        <v>25</v>
      </c>
      <c r="E109" t="s">
        <v>32</v>
      </c>
      <c r="F109">
        <v>2700</v>
      </c>
      <c r="G109">
        <v>0</v>
      </c>
      <c r="H109">
        <v>0</v>
      </c>
      <c r="I109">
        <v>2</v>
      </c>
      <c r="J109">
        <v>4</v>
      </c>
      <c r="K109">
        <v>6</v>
      </c>
      <c r="L109">
        <v>2.2222222222222222E-3</v>
      </c>
      <c r="M109">
        <v>0.99777777777777776</v>
      </c>
      <c r="N109">
        <v>0</v>
      </c>
      <c r="O109">
        <v>1</v>
      </c>
      <c r="P109">
        <v>2.2222222222222222E-3</v>
      </c>
      <c r="Q109">
        <v>12</v>
      </c>
      <c r="R109">
        <v>2023</v>
      </c>
      <c r="S109" s="1">
        <v>45261</v>
      </c>
    </row>
    <row r="110" spans="1:19" x14ac:dyDescent="0.3">
      <c r="A110" t="s">
        <v>35</v>
      </c>
      <c r="B110">
        <v>115</v>
      </c>
      <c r="C110" t="s">
        <v>20</v>
      </c>
      <c r="D110">
        <v>25</v>
      </c>
      <c r="E110" t="s">
        <v>21</v>
      </c>
      <c r="F110">
        <v>2875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  <c r="N110">
        <v>0</v>
      </c>
      <c r="O110">
        <v>1</v>
      </c>
      <c r="P110">
        <v>0</v>
      </c>
      <c r="Q110">
        <v>1</v>
      </c>
      <c r="R110">
        <v>2024</v>
      </c>
      <c r="S110" s="1">
        <v>45292</v>
      </c>
    </row>
    <row r="111" spans="1:19" x14ac:dyDescent="0.3">
      <c r="A111" t="s">
        <v>35</v>
      </c>
      <c r="B111">
        <v>125</v>
      </c>
      <c r="C111" t="s">
        <v>20</v>
      </c>
      <c r="D111">
        <v>24</v>
      </c>
      <c r="E111" t="s">
        <v>22</v>
      </c>
      <c r="F111">
        <v>3000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2</v>
      </c>
      <c r="R111">
        <v>2024</v>
      </c>
      <c r="S111" s="1">
        <v>45323</v>
      </c>
    </row>
    <row r="112" spans="1:19" x14ac:dyDescent="0.3">
      <c r="A112" t="s">
        <v>35</v>
      </c>
      <c r="B112">
        <v>125</v>
      </c>
      <c r="C112" t="s">
        <v>20</v>
      </c>
      <c r="D112">
        <v>24</v>
      </c>
      <c r="E112" t="s">
        <v>23</v>
      </c>
      <c r="F112">
        <v>3000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3</v>
      </c>
      <c r="R112">
        <v>2024</v>
      </c>
      <c r="S112" s="1">
        <v>45352</v>
      </c>
    </row>
    <row r="113" spans="1:19" x14ac:dyDescent="0.3">
      <c r="A113" t="s">
        <v>35</v>
      </c>
      <c r="B113">
        <v>125</v>
      </c>
      <c r="C113" t="s">
        <v>20</v>
      </c>
      <c r="D113">
        <v>26</v>
      </c>
      <c r="E113" t="s">
        <v>24</v>
      </c>
      <c r="F113">
        <v>3250</v>
      </c>
      <c r="G113">
        <v>0</v>
      </c>
      <c r="H113">
        <v>0</v>
      </c>
      <c r="I113">
        <v>19</v>
      </c>
      <c r="J113">
        <v>0</v>
      </c>
      <c r="K113">
        <v>19</v>
      </c>
      <c r="L113">
        <v>5.8461538461538464E-3</v>
      </c>
      <c r="M113">
        <v>0.99415384615384617</v>
      </c>
      <c r="N113">
        <v>0</v>
      </c>
      <c r="O113">
        <v>1</v>
      </c>
      <c r="P113">
        <v>5.8461538461538464E-3</v>
      </c>
      <c r="Q113">
        <v>4</v>
      </c>
      <c r="R113">
        <v>2024</v>
      </c>
      <c r="S113" s="1">
        <v>45383</v>
      </c>
    </row>
    <row r="114" spans="1:19" x14ac:dyDescent="0.3">
      <c r="A114" t="s">
        <v>35</v>
      </c>
      <c r="B114">
        <v>125</v>
      </c>
      <c r="C114" t="s">
        <v>20</v>
      </c>
      <c r="D114">
        <v>26</v>
      </c>
      <c r="E114" t="s">
        <v>25</v>
      </c>
      <c r="F114">
        <v>3250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1</v>
      </c>
      <c r="P114">
        <v>0</v>
      </c>
      <c r="Q114">
        <v>5</v>
      </c>
      <c r="R114">
        <v>2024</v>
      </c>
      <c r="S114" s="1">
        <v>45413</v>
      </c>
    </row>
    <row r="115" spans="1:19" x14ac:dyDescent="0.3">
      <c r="A115" t="s">
        <v>35</v>
      </c>
      <c r="B115">
        <v>106</v>
      </c>
      <c r="C115" t="s">
        <v>20</v>
      </c>
      <c r="D115">
        <v>20</v>
      </c>
      <c r="E115" t="s">
        <v>26</v>
      </c>
      <c r="F115">
        <v>2120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6</v>
      </c>
      <c r="R115">
        <v>2024</v>
      </c>
      <c r="S115" s="1">
        <v>45444</v>
      </c>
    </row>
    <row r="116" spans="1:19" x14ac:dyDescent="0.3">
      <c r="A116" t="s">
        <v>35</v>
      </c>
      <c r="B116">
        <v>102</v>
      </c>
      <c r="C116" t="s">
        <v>20</v>
      </c>
      <c r="D116">
        <v>23</v>
      </c>
      <c r="E116" t="s">
        <v>27</v>
      </c>
      <c r="F116">
        <v>2346</v>
      </c>
      <c r="G116">
        <v>0</v>
      </c>
      <c r="H116">
        <v>0</v>
      </c>
      <c r="I116">
        <v>17</v>
      </c>
      <c r="J116">
        <v>1</v>
      </c>
      <c r="K116">
        <v>18</v>
      </c>
      <c r="L116">
        <v>7.6726342710997444E-3</v>
      </c>
      <c r="M116">
        <v>0.99232736572890023</v>
      </c>
      <c r="N116">
        <v>0</v>
      </c>
      <c r="O116">
        <v>1</v>
      </c>
      <c r="P116">
        <v>7.6726342710997444E-3</v>
      </c>
      <c r="Q116">
        <v>7</v>
      </c>
      <c r="R116">
        <v>2024</v>
      </c>
      <c r="S116" s="1">
        <v>45474</v>
      </c>
    </row>
    <row r="117" spans="1:19" x14ac:dyDescent="0.3">
      <c r="A117" t="s">
        <v>35</v>
      </c>
      <c r="B117">
        <v>96</v>
      </c>
      <c r="C117" t="s">
        <v>20</v>
      </c>
      <c r="D117">
        <v>22</v>
      </c>
      <c r="E117" t="s">
        <v>28</v>
      </c>
      <c r="F117">
        <v>2112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8</v>
      </c>
      <c r="R117">
        <v>2024</v>
      </c>
      <c r="S117" s="1">
        <v>45505</v>
      </c>
    </row>
    <row r="118" spans="1:19" x14ac:dyDescent="0.3">
      <c r="A118" t="s">
        <v>35</v>
      </c>
      <c r="B118">
        <v>96</v>
      </c>
      <c r="C118" t="s">
        <v>20</v>
      </c>
      <c r="D118">
        <v>20</v>
      </c>
      <c r="E118" t="s">
        <v>29</v>
      </c>
      <c r="F118">
        <v>1920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1</v>
      </c>
      <c r="P118">
        <v>0</v>
      </c>
      <c r="Q118">
        <v>9</v>
      </c>
      <c r="R118">
        <v>2024</v>
      </c>
      <c r="S118" s="1">
        <v>45536</v>
      </c>
    </row>
    <row r="119" spans="1:19" x14ac:dyDescent="0.3">
      <c r="A119" t="s">
        <v>35</v>
      </c>
      <c r="B119">
        <v>107</v>
      </c>
      <c r="C119" t="s">
        <v>20</v>
      </c>
      <c r="D119">
        <v>22</v>
      </c>
      <c r="E119" t="s">
        <v>30</v>
      </c>
      <c r="F119">
        <v>2354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1</v>
      </c>
      <c r="P119">
        <v>0</v>
      </c>
      <c r="Q119">
        <v>10</v>
      </c>
      <c r="R119">
        <v>2024</v>
      </c>
      <c r="S119" s="1">
        <v>45566</v>
      </c>
    </row>
    <row r="120" spans="1:19" x14ac:dyDescent="0.3">
      <c r="A120" t="s">
        <v>35</v>
      </c>
      <c r="B120">
        <v>118</v>
      </c>
      <c r="C120" t="s">
        <v>20</v>
      </c>
      <c r="D120">
        <v>21</v>
      </c>
      <c r="E120" t="s">
        <v>31</v>
      </c>
      <c r="F120">
        <v>2478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</v>
      </c>
      <c r="N120">
        <v>0</v>
      </c>
      <c r="O120">
        <v>1</v>
      </c>
      <c r="P120">
        <v>0</v>
      </c>
      <c r="Q120">
        <v>11</v>
      </c>
      <c r="R120">
        <v>2024</v>
      </c>
      <c r="S120" s="1">
        <v>45597</v>
      </c>
    </row>
    <row r="121" spans="1:19" x14ac:dyDescent="0.3">
      <c r="A121" t="s">
        <v>35</v>
      </c>
      <c r="B121">
        <v>123</v>
      </c>
      <c r="C121" t="s">
        <v>20</v>
      </c>
      <c r="D121">
        <v>25</v>
      </c>
      <c r="E121" t="s">
        <v>32</v>
      </c>
      <c r="F121">
        <v>3075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1</v>
      </c>
      <c r="P121">
        <v>0</v>
      </c>
      <c r="Q121">
        <v>12</v>
      </c>
      <c r="R121">
        <v>2024</v>
      </c>
      <c r="S121" s="1">
        <v>45627</v>
      </c>
    </row>
    <row r="122" spans="1:19" x14ac:dyDescent="0.3">
      <c r="A122" t="s">
        <v>35</v>
      </c>
      <c r="B122">
        <v>125</v>
      </c>
      <c r="C122" t="s">
        <v>20</v>
      </c>
      <c r="D122">
        <v>25</v>
      </c>
      <c r="E122" t="s">
        <v>21</v>
      </c>
      <c r="F122">
        <v>3125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0.1079</v>
      </c>
      <c r="O122">
        <v>0.8921</v>
      </c>
      <c r="P122">
        <v>-0.1079</v>
      </c>
      <c r="Q122">
        <v>1</v>
      </c>
      <c r="R122">
        <v>2025</v>
      </c>
      <c r="S122" s="1">
        <v>45658</v>
      </c>
    </row>
    <row r="123" spans="1:19" x14ac:dyDescent="0.3">
      <c r="A123" t="s">
        <v>35</v>
      </c>
      <c r="B123">
        <v>128</v>
      </c>
      <c r="C123" t="s">
        <v>20</v>
      </c>
      <c r="D123">
        <v>22</v>
      </c>
      <c r="E123" t="s">
        <v>22</v>
      </c>
      <c r="F123">
        <v>2816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0.12</v>
      </c>
      <c r="O123">
        <v>0.88</v>
      </c>
      <c r="P123">
        <v>-0.12</v>
      </c>
      <c r="Q123">
        <v>2</v>
      </c>
      <c r="R123">
        <v>2025</v>
      </c>
      <c r="S123" s="1">
        <v>45689</v>
      </c>
    </row>
    <row r="124" spans="1:19" x14ac:dyDescent="0.3">
      <c r="A124" t="s">
        <v>35</v>
      </c>
      <c r="B124">
        <v>128</v>
      </c>
      <c r="C124" t="s">
        <v>20</v>
      </c>
      <c r="D124">
        <v>25</v>
      </c>
      <c r="E124" t="s">
        <v>23</v>
      </c>
      <c r="F124">
        <v>3200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>
        <v>0.1149</v>
      </c>
      <c r="O124">
        <v>0.8851</v>
      </c>
      <c r="P124">
        <v>-0.1149</v>
      </c>
      <c r="Q124">
        <v>3</v>
      </c>
      <c r="R124">
        <v>2025</v>
      </c>
      <c r="S124" s="1">
        <v>45717</v>
      </c>
    </row>
    <row r="125" spans="1:19" x14ac:dyDescent="0.3">
      <c r="A125" t="s">
        <v>35</v>
      </c>
      <c r="B125">
        <v>131</v>
      </c>
      <c r="C125" t="s">
        <v>20</v>
      </c>
      <c r="D125">
        <v>25</v>
      </c>
      <c r="E125" t="s">
        <v>24</v>
      </c>
      <c r="F125">
        <v>3275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0.1366</v>
      </c>
      <c r="O125">
        <v>0.86339999999999995</v>
      </c>
      <c r="P125">
        <v>-0.1366</v>
      </c>
      <c r="Q125">
        <v>4</v>
      </c>
      <c r="R125">
        <v>2025</v>
      </c>
      <c r="S125" s="1">
        <v>45748</v>
      </c>
    </row>
    <row r="126" spans="1:19" x14ac:dyDescent="0.3">
      <c r="A126" t="s">
        <v>35</v>
      </c>
      <c r="B126">
        <v>130</v>
      </c>
      <c r="C126" t="s">
        <v>20</v>
      </c>
      <c r="D126">
        <v>26</v>
      </c>
      <c r="E126" t="s">
        <v>25</v>
      </c>
      <c r="F126">
        <v>3380</v>
      </c>
      <c r="G126">
        <v>0</v>
      </c>
      <c r="H126">
        <v>0</v>
      </c>
      <c r="I126">
        <v>0</v>
      </c>
      <c r="J126">
        <v>18</v>
      </c>
      <c r="K126">
        <v>18</v>
      </c>
      <c r="L126">
        <v>5.3254437869822485E-3</v>
      </c>
      <c r="M126">
        <v>0.9946745562130177</v>
      </c>
      <c r="N126">
        <v>7.1599999999999997E-2</v>
      </c>
      <c r="O126">
        <v>0.9284</v>
      </c>
      <c r="P126">
        <v>-6.6274556213017755E-2</v>
      </c>
      <c r="Q126">
        <v>5</v>
      </c>
      <c r="R126">
        <v>2025</v>
      </c>
      <c r="S126" s="1">
        <v>45778</v>
      </c>
    </row>
    <row r="127" spans="1:19" x14ac:dyDescent="0.3">
      <c r="A127" t="s">
        <v>35</v>
      </c>
      <c r="B127">
        <v>108</v>
      </c>
      <c r="C127" t="s">
        <v>20</v>
      </c>
      <c r="D127">
        <v>6</v>
      </c>
      <c r="E127" t="s">
        <v>26</v>
      </c>
      <c r="F127">
        <v>648</v>
      </c>
      <c r="G127">
        <v>0</v>
      </c>
      <c r="H127">
        <v>0</v>
      </c>
      <c r="I127">
        <v>0</v>
      </c>
      <c r="J127">
        <v>21</v>
      </c>
      <c r="K127">
        <v>21</v>
      </c>
      <c r="L127">
        <v>3.2407407407407406E-2</v>
      </c>
      <c r="M127">
        <v>0.96759259259259256</v>
      </c>
      <c r="N127">
        <v>0.1142</v>
      </c>
      <c r="O127">
        <v>0.88580000000000003</v>
      </c>
      <c r="P127">
        <v>-8.1792592592592583E-2</v>
      </c>
      <c r="Q127">
        <v>6</v>
      </c>
      <c r="R127">
        <v>2025</v>
      </c>
      <c r="S127" s="1">
        <v>45809</v>
      </c>
    </row>
    <row r="128" spans="1:19" x14ac:dyDescent="0.3">
      <c r="A128" t="s">
        <v>35</v>
      </c>
      <c r="B128">
        <v>108</v>
      </c>
      <c r="C128" t="s">
        <v>20</v>
      </c>
      <c r="D128">
        <v>23</v>
      </c>
      <c r="E128" t="s">
        <v>27</v>
      </c>
      <c r="F128">
        <v>2484</v>
      </c>
      <c r="G128">
        <v>0</v>
      </c>
      <c r="H128">
        <v>0</v>
      </c>
      <c r="I128">
        <v>24</v>
      </c>
      <c r="J128">
        <v>0</v>
      </c>
      <c r="K128">
        <v>24</v>
      </c>
      <c r="L128">
        <v>9.6618357487922701E-3</v>
      </c>
      <c r="M128">
        <v>0.99033816425120769</v>
      </c>
      <c r="N128">
        <v>0.1002</v>
      </c>
      <c r="O128">
        <v>0.89980000000000004</v>
      </c>
      <c r="P128">
        <v>-9.0538164251207726E-2</v>
      </c>
      <c r="Q128">
        <v>7</v>
      </c>
      <c r="R128">
        <v>2025</v>
      </c>
      <c r="S128" s="1">
        <v>45839</v>
      </c>
    </row>
    <row r="129" spans="1:19" x14ac:dyDescent="0.3">
      <c r="A129" t="s">
        <v>35</v>
      </c>
      <c r="B129">
        <v>107</v>
      </c>
      <c r="C129" t="s">
        <v>20</v>
      </c>
      <c r="D129">
        <v>22</v>
      </c>
      <c r="E129" t="s">
        <v>28</v>
      </c>
      <c r="F129">
        <v>2354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</v>
      </c>
      <c r="N129">
        <v>8.6900000000000005E-2</v>
      </c>
      <c r="O129">
        <v>0.91310000000000002</v>
      </c>
      <c r="P129">
        <v>-8.6900000000000005E-2</v>
      </c>
      <c r="Q129">
        <v>8</v>
      </c>
      <c r="R129">
        <v>2025</v>
      </c>
      <c r="S129" s="1">
        <v>45870</v>
      </c>
    </row>
    <row r="130" spans="1:19" x14ac:dyDescent="0.3">
      <c r="A130" t="s">
        <v>35</v>
      </c>
      <c r="B130">
        <v>107</v>
      </c>
      <c r="C130" t="s">
        <v>20</v>
      </c>
      <c r="D130">
        <v>20</v>
      </c>
      <c r="E130" t="s">
        <v>29</v>
      </c>
      <c r="F130">
        <v>2140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7.4899999999999994E-2</v>
      </c>
      <c r="O130">
        <v>0.92510000000000003</v>
      </c>
      <c r="P130">
        <v>-7.4899999999999994E-2</v>
      </c>
      <c r="Q130">
        <v>9</v>
      </c>
      <c r="R130">
        <v>2025</v>
      </c>
      <c r="S130" s="1">
        <v>45901</v>
      </c>
    </row>
    <row r="131" spans="1:19" x14ac:dyDescent="0.3">
      <c r="A131" t="s">
        <v>35</v>
      </c>
      <c r="B131">
        <v>123</v>
      </c>
      <c r="C131" t="s">
        <v>20</v>
      </c>
      <c r="D131">
        <v>20</v>
      </c>
      <c r="E131" t="s">
        <v>30</v>
      </c>
      <c r="F131">
        <v>2460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6.6299999999999998E-2</v>
      </c>
      <c r="O131">
        <v>0.93369999999999997</v>
      </c>
      <c r="P131">
        <v>-6.6299999999999998E-2</v>
      </c>
      <c r="Q131">
        <v>10</v>
      </c>
      <c r="R131">
        <v>2025</v>
      </c>
      <c r="S131" s="1">
        <v>45931</v>
      </c>
    </row>
    <row r="132" spans="1:19" x14ac:dyDescent="0.3">
      <c r="A132" t="s">
        <v>35</v>
      </c>
      <c r="B132">
        <v>459</v>
      </c>
      <c r="C132" t="s">
        <v>34</v>
      </c>
      <c r="D132">
        <v>26</v>
      </c>
      <c r="E132" t="s">
        <v>21</v>
      </c>
      <c r="F132">
        <v>11934</v>
      </c>
      <c r="G132">
        <v>378</v>
      </c>
      <c r="H132">
        <v>98</v>
      </c>
      <c r="I132">
        <v>245</v>
      </c>
      <c r="J132">
        <v>68</v>
      </c>
      <c r="K132">
        <v>789</v>
      </c>
      <c r="L132">
        <v>6.611362493715435E-2</v>
      </c>
      <c r="M132">
        <v>0.93388637506284566</v>
      </c>
      <c r="N132">
        <v>0</v>
      </c>
      <c r="O132">
        <v>1</v>
      </c>
      <c r="P132">
        <v>6.611362493715435E-2</v>
      </c>
      <c r="Q132">
        <v>1</v>
      </c>
      <c r="R132">
        <v>2023</v>
      </c>
      <c r="S132" s="1">
        <v>44927</v>
      </c>
    </row>
    <row r="133" spans="1:19" x14ac:dyDescent="0.3">
      <c r="A133" t="s">
        <v>35</v>
      </c>
      <c r="B133">
        <v>459</v>
      </c>
      <c r="C133" t="s">
        <v>34</v>
      </c>
      <c r="D133">
        <v>23</v>
      </c>
      <c r="E133" t="s">
        <v>22</v>
      </c>
      <c r="F133">
        <v>10557</v>
      </c>
      <c r="G133">
        <v>274</v>
      </c>
      <c r="H133">
        <v>171</v>
      </c>
      <c r="I133">
        <v>184</v>
      </c>
      <c r="J133">
        <v>148</v>
      </c>
      <c r="K133">
        <v>777</v>
      </c>
      <c r="L133">
        <v>7.3600454674623478E-2</v>
      </c>
      <c r="M133">
        <v>0.92639954532537649</v>
      </c>
      <c r="N133">
        <v>0</v>
      </c>
      <c r="O133">
        <v>1</v>
      </c>
      <c r="P133">
        <v>7.3600454674623478E-2</v>
      </c>
      <c r="Q133">
        <v>2</v>
      </c>
      <c r="R133">
        <v>2023</v>
      </c>
      <c r="S133" s="1">
        <v>44958</v>
      </c>
    </row>
    <row r="134" spans="1:19" x14ac:dyDescent="0.3">
      <c r="A134" t="s">
        <v>35</v>
      </c>
      <c r="B134">
        <v>459</v>
      </c>
      <c r="C134" t="s">
        <v>34</v>
      </c>
      <c r="D134">
        <v>26</v>
      </c>
      <c r="E134" t="s">
        <v>23</v>
      </c>
      <c r="F134">
        <v>11934</v>
      </c>
      <c r="G134">
        <v>336</v>
      </c>
      <c r="H134">
        <v>149</v>
      </c>
      <c r="I134">
        <v>202</v>
      </c>
      <c r="J134">
        <v>166</v>
      </c>
      <c r="K134">
        <v>853</v>
      </c>
      <c r="L134">
        <v>7.1476453829395006E-2</v>
      </c>
      <c r="M134">
        <v>0.92852354617060495</v>
      </c>
      <c r="N134">
        <v>0</v>
      </c>
      <c r="O134">
        <v>1</v>
      </c>
      <c r="P134">
        <v>7.1476453829395006E-2</v>
      </c>
      <c r="Q134">
        <v>3</v>
      </c>
      <c r="R134">
        <v>2023</v>
      </c>
      <c r="S134" s="1">
        <v>44986</v>
      </c>
    </row>
    <row r="135" spans="1:19" x14ac:dyDescent="0.3">
      <c r="A135" t="s">
        <v>35</v>
      </c>
      <c r="B135">
        <v>459</v>
      </c>
      <c r="C135" t="s">
        <v>34</v>
      </c>
      <c r="D135">
        <v>24</v>
      </c>
      <c r="E135" t="s">
        <v>24</v>
      </c>
      <c r="F135">
        <v>11016</v>
      </c>
      <c r="G135">
        <v>424</v>
      </c>
      <c r="H135">
        <v>140</v>
      </c>
      <c r="I135">
        <v>217</v>
      </c>
      <c r="J135">
        <v>97</v>
      </c>
      <c r="K135">
        <v>878</v>
      </c>
      <c r="L135">
        <v>7.9702251270878724E-2</v>
      </c>
      <c r="M135">
        <v>0.92029774872912129</v>
      </c>
      <c r="N135">
        <v>0</v>
      </c>
      <c r="O135">
        <v>1</v>
      </c>
      <c r="P135">
        <v>7.9702251270878724E-2</v>
      </c>
      <c r="Q135">
        <v>4</v>
      </c>
      <c r="R135">
        <v>2023</v>
      </c>
      <c r="S135" s="1">
        <v>45017</v>
      </c>
    </row>
    <row r="136" spans="1:19" x14ac:dyDescent="0.3">
      <c r="A136" t="s">
        <v>35</v>
      </c>
      <c r="B136">
        <v>459</v>
      </c>
      <c r="C136" t="s">
        <v>34</v>
      </c>
      <c r="D136">
        <v>15</v>
      </c>
      <c r="E136" t="s">
        <v>25</v>
      </c>
      <c r="F136">
        <v>6885</v>
      </c>
      <c r="G136">
        <v>166</v>
      </c>
      <c r="H136">
        <v>61</v>
      </c>
      <c r="I136">
        <v>77</v>
      </c>
      <c r="J136">
        <v>42</v>
      </c>
      <c r="K136">
        <v>346</v>
      </c>
      <c r="L136">
        <v>5.0254175744371826E-2</v>
      </c>
      <c r="M136">
        <v>0.94974582425562815</v>
      </c>
      <c r="N136">
        <v>0</v>
      </c>
      <c r="O136">
        <v>1</v>
      </c>
      <c r="P136">
        <v>5.0254175744371826E-2</v>
      </c>
      <c r="Q136">
        <v>5</v>
      </c>
      <c r="R136">
        <v>2023</v>
      </c>
      <c r="S136" s="1">
        <v>45047</v>
      </c>
    </row>
    <row r="137" spans="1:19" x14ac:dyDescent="0.3">
      <c r="A137" t="s">
        <v>35</v>
      </c>
      <c r="B137">
        <v>234</v>
      </c>
      <c r="C137" t="s">
        <v>34</v>
      </c>
      <c r="D137">
        <v>22</v>
      </c>
      <c r="E137" t="s">
        <v>26</v>
      </c>
      <c r="F137">
        <v>5148</v>
      </c>
      <c r="G137">
        <v>213</v>
      </c>
      <c r="H137">
        <v>348</v>
      </c>
      <c r="I137">
        <v>194</v>
      </c>
      <c r="J137">
        <v>66</v>
      </c>
      <c r="K137">
        <v>821</v>
      </c>
      <c r="L137">
        <v>0.15947940947940947</v>
      </c>
      <c r="M137">
        <v>0.84052059052059058</v>
      </c>
      <c r="N137">
        <v>0</v>
      </c>
      <c r="O137">
        <v>1</v>
      </c>
      <c r="P137">
        <v>0.15947940947940947</v>
      </c>
      <c r="Q137">
        <v>6</v>
      </c>
      <c r="R137">
        <v>2023</v>
      </c>
      <c r="S137" s="1">
        <v>45078</v>
      </c>
    </row>
    <row r="138" spans="1:19" x14ac:dyDescent="0.3">
      <c r="A138" t="s">
        <v>35</v>
      </c>
      <c r="B138">
        <v>234</v>
      </c>
      <c r="C138" t="s">
        <v>34</v>
      </c>
      <c r="D138">
        <v>21</v>
      </c>
      <c r="E138" t="s">
        <v>27</v>
      </c>
      <c r="F138">
        <v>4914</v>
      </c>
      <c r="G138">
        <v>149</v>
      </c>
      <c r="H138">
        <v>292</v>
      </c>
      <c r="I138">
        <v>184</v>
      </c>
      <c r="J138">
        <v>65</v>
      </c>
      <c r="K138">
        <v>690</v>
      </c>
      <c r="L138">
        <v>0.14041514041514042</v>
      </c>
      <c r="M138">
        <v>0.85958485958485964</v>
      </c>
      <c r="N138">
        <v>0</v>
      </c>
      <c r="O138">
        <v>1</v>
      </c>
      <c r="P138">
        <v>0.14041514041514042</v>
      </c>
      <c r="Q138">
        <v>7</v>
      </c>
      <c r="R138">
        <v>2023</v>
      </c>
      <c r="S138" s="1">
        <v>45108</v>
      </c>
    </row>
    <row r="139" spans="1:19" x14ac:dyDescent="0.3">
      <c r="A139" t="s">
        <v>35</v>
      </c>
      <c r="B139">
        <v>234</v>
      </c>
      <c r="C139" t="s">
        <v>34</v>
      </c>
      <c r="D139">
        <v>23</v>
      </c>
      <c r="E139" t="s">
        <v>28</v>
      </c>
      <c r="F139">
        <v>5382</v>
      </c>
      <c r="G139">
        <v>249</v>
      </c>
      <c r="H139">
        <v>242</v>
      </c>
      <c r="I139">
        <v>195</v>
      </c>
      <c r="J139">
        <v>83</v>
      </c>
      <c r="K139">
        <v>769</v>
      </c>
      <c r="L139">
        <v>0.14288368636194723</v>
      </c>
      <c r="M139">
        <v>0.85711631363805274</v>
      </c>
      <c r="N139">
        <v>0</v>
      </c>
      <c r="O139">
        <v>1</v>
      </c>
      <c r="P139">
        <v>0.14288368636194723</v>
      </c>
      <c r="Q139">
        <v>8</v>
      </c>
      <c r="R139">
        <v>2023</v>
      </c>
      <c r="S139" s="1">
        <v>45139</v>
      </c>
    </row>
    <row r="140" spans="1:19" x14ac:dyDescent="0.3">
      <c r="A140" t="s">
        <v>35</v>
      </c>
      <c r="B140">
        <v>234</v>
      </c>
      <c r="C140" t="s">
        <v>34</v>
      </c>
      <c r="D140">
        <v>20</v>
      </c>
      <c r="E140" t="s">
        <v>29</v>
      </c>
      <c r="F140">
        <v>4680</v>
      </c>
      <c r="G140">
        <v>142</v>
      </c>
      <c r="H140">
        <v>211</v>
      </c>
      <c r="I140">
        <v>191</v>
      </c>
      <c r="J140">
        <v>112</v>
      </c>
      <c r="K140">
        <v>656</v>
      </c>
      <c r="L140">
        <v>0.14017094017094017</v>
      </c>
      <c r="M140">
        <v>0.85982905982905988</v>
      </c>
      <c r="N140">
        <v>0</v>
      </c>
      <c r="O140">
        <v>1</v>
      </c>
      <c r="P140">
        <v>0.14017094017094017</v>
      </c>
      <c r="Q140">
        <v>9</v>
      </c>
      <c r="R140">
        <v>2023</v>
      </c>
      <c r="S140" s="1">
        <v>45170</v>
      </c>
    </row>
    <row r="141" spans="1:19" x14ac:dyDescent="0.3">
      <c r="A141" t="s">
        <v>35</v>
      </c>
      <c r="B141">
        <v>234</v>
      </c>
      <c r="C141" t="s">
        <v>34</v>
      </c>
      <c r="D141">
        <v>21</v>
      </c>
      <c r="E141" t="s">
        <v>30</v>
      </c>
      <c r="F141">
        <v>4914</v>
      </c>
      <c r="G141">
        <v>121</v>
      </c>
      <c r="H141">
        <v>134</v>
      </c>
      <c r="I141">
        <v>120</v>
      </c>
      <c r="J141">
        <v>117</v>
      </c>
      <c r="K141">
        <v>492</v>
      </c>
      <c r="L141">
        <v>0.10012210012210013</v>
      </c>
      <c r="M141">
        <v>0.8998778998778999</v>
      </c>
      <c r="N141">
        <v>0</v>
      </c>
      <c r="O141">
        <v>1</v>
      </c>
      <c r="P141">
        <v>0.10012210012210013</v>
      </c>
      <c r="Q141">
        <v>10</v>
      </c>
      <c r="R141">
        <v>2023</v>
      </c>
      <c r="S141" s="1">
        <v>45200</v>
      </c>
    </row>
    <row r="142" spans="1:19" x14ac:dyDescent="0.3">
      <c r="A142" t="s">
        <v>35</v>
      </c>
      <c r="B142">
        <v>234</v>
      </c>
      <c r="C142" t="s">
        <v>34</v>
      </c>
      <c r="D142">
        <v>23</v>
      </c>
      <c r="E142" t="s">
        <v>31</v>
      </c>
      <c r="F142">
        <v>5382</v>
      </c>
      <c r="G142">
        <v>109</v>
      </c>
      <c r="H142">
        <v>252</v>
      </c>
      <c r="I142">
        <v>110</v>
      </c>
      <c r="J142">
        <v>105</v>
      </c>
      <c r="K142">
        <v>576</v>
      </c>
      <c r="L142">
        <v>0.10702341137123746</v>
      </c>
      <c r="M142">
        <v>0.8929765886287625</v>
      </c>
      <c r="N142">
        <v>0</v>
      </c>
      <c r="O142">
        <v>1</v>
      </c>
      <c r="P142">
        <v>0.10702341137123746</v>
      </c>
      <c r="Q142">
        <v>11</v>
      </c>
      <c r="R142">
        <v>2023</v>
      </c>
      <c r="S142" s="1">
        <v>45231</v>
      </c>
    </row>
    <row r="143" spans="1:19" x14ac:dyDescent="0.3">
      <c r="A143" t="s">
        <v>35</v>
      </c>
      <c r="B143">
        <v>459</v>
      </c>
      <c r="C143" t="s">
        <v>34</v>
      </c>
      <c r="D143">
        <v>25</v>
      </c>
      <c r="E143" t="s">
        <v>32</v>
      </c>
      <c r="F143">
        <v>11475</v>
      </c>
      <c r="G143">
        <v>400</v>
      </c>
      <c r="H143">
        <v>174</v>
      </c>
      <c r="I143">
        <v>164</v>
      </c>
      <c r="J143">
        <v>130</v>
      </c>
      <c r="K143">
        <v>868</v>
      </c>
      <c r="L143">
        <v>7.5642701525054465E-2</v>
      </c>
      <c r="M143">
        <v>0.92435729847494552</v>
      </c>
      <c r="N143">
        <v>0</v>
      </c>
      <c r="O143">
        <v>1</v>
      </c>
      <c r="P143">
        <v>7.5642701525054465E-2</v>
      </c>
      <c r="Q143">
        <v>12</v>
      </c>
      <c r="R143">
        <v>2023</v>
      </c>
      <c r="S143" s="1">
        <v>45261</v>
      </c>
    </row>
    <row r="144" spans="1:19" x14ac:dyDescent="0.3">
      <c r="A144" t="s">
        <v>35</v>
      </c>
      <c r="B144">
        <v>459</v>
      </c>
      <c r="C144" t="s">
        <v>34</v>
      </c>
      <c r="D144">
        <v>25</v>
      </c>
      <c r="E144" t="s">
        <v>21</v>
      </c>
      <c r="F144">
        <v>11475</v>
      </c>
      <c r="G144">
        <v>491</v>
      </c>
      <c r="H144">
        <v>283</v>
      </c>
      <c r="I144">
        <v>120</v>
      </c>
      <c r="J144">
        <v>132</v>
      </c>
      <c r="K144">
        <v>1026</v>
      </c>
      <c r="L144">
        <v>8.9411764705882357E-2</v>
      </c>
      <c r="M144">
        <v>0.9105882352941177</v>
      </c>
      <c r="N144">
        <v>0</v>
      </c>
      <c r="O144">
        <v>1</v>
      </c>
      <c r="P144">
        <v>8.9411764705882357E-2</v>
      </c>
      <c r="Q144">
        <v>1</v>
      </c>
      <c r="R144">
        <v>2024</v>
      </c>
      <c r="S144" s="1">
        <v>45292</v>
      </c>
    </row>
    <row r="145" spans="1:19" x14ac:dyDescent="0.3">
      <c r="A145" t="s">
        <v>35</v>
      </c>
      <c r="B145">
        <v>459</v>
      </c>
      <c r="C145" t="s">
        <v>34</v>
      </c>
      <c r="D145">
        <v>24</v>
      </c>
      <c r="E145" t="s">
        <v>22</v>
      </c>
      <c r="F145">
        <v>11016</v>
      </c>
      <c r="G145">
        <v>546</v>
      </c>
      <c r="H145">
        <v>305</v>
      </c>
      <c r="I145">
        <v>216</v>
      </c>
      <c r="J145">
        <v>74</v>
      </c>
      <c r="K145">
        <v>1141</v>
      </c>
      <c r="L145">
        <v>0.1035766158315178</v>
      </c>
      <c r="M145">
        <v>0.89642338416848222</v>
      </c>
      <c r="N145">
        <v>0</v>
      </c>
      <c r="O145">
        <v>1</v>
      </c>
      <c r="P145">
        <v>0.1035766158315178</v>
      </c>
      <c r="Q145">
        <v>2</v>
      </c>
      <c r="R145">
        <v>2024</v>
      </c>
      <c r="S145" s="1">
        <v>45323</v>
      </c>
    </row>
    <row r="146" spans="1:19" x14ac:dyDescent="0.3">
      <c r="A146" t="s">
        <v>35</v>
      </c>
      <c r="B146">
        <v>459</v>
      </c>
      <c r="C146" t="s">
        <v>34</v>
      </c>
      <c r="D146">
        <v>24</v>
      </c>
      <c r="E146" t="s">
        <v>23</v>
      </c>
      <c r="F146">
        <v>11016</v>
      </c>
      <c r="G146">
        <v>716</v>
      </c>
      <c r="H146">
        <v>136</v>
      </c>
      <c r="I146">
        <v>242</v>
      </c>
      <c r="J146">
        <v>74</v>
      </c>
      <c r="K146">
        <v>1168</v>
      </c>
      <c r="L146">
        <v>0.10602759622367465</v>
      </c>
      <c r="M146">
        <v>0.89397240377632536</v>
      </c>
      <c r="N146">
        <v>0</v>
      </c>
      <c r="O146">
        <v>1</v>
      </c>
      <c r="P146">
        <v>0.10602759622367465</v>
      </c>
      <c r="Q146">
        <v>3</v>
      </c>
      <c r="R146">
        <v>2024</v>
      </c>
      <c r="S146" s="1">
        <v>45352</v>
      </c>
    </row>
    <row r="147" spans="1:19" x14ac:dyDescent="0.3">
      <c r="A147" t="s">
        <v>35</v>
      </c>
      <c r="B147">
        <v>459</v>
      </c>
      <c r="C147" t="s">
        <v>34</v>
      </c>
      <c r="D147">
        <v>26</v>
      </c>
      <c r="E147" t="s">
        <v>24</v>
      </c>
      <c r="F147">
        <v>11934</v>
      </c>
      <c r="G147">
        <v>734</v>
      </c>
      <c r="H147">
        <v>391</v>
      </c>
      <c r="I147">
        <v>88</v>
      </c>
      <c r="J147">
        <v>131</v>
      </c>
      <c r="K147">
        <v>1344</v>
      </c>
      <c r="L147">
        <v>0.1126194067370538</v>
      </c>
      <c r="M147">
        <v>0.88738059326294616</v>
      </c>
      <c r="N147">
        <v>0</v>
      </c>
      <c r="O147">
        <v>1</v>
      </c>
      <c r="P147">
        <v>0.1126194067370538</v>
      </c>
      <c r="Q147">
        <v>4</v>
      </c>
      <c r="R147">
        <v>2024</v>
      </c>
      <c r="S147" s="1">
        <v>45383</v>
      </c>
    </row>
    <row r="148" spans="1:19" x14ac:dyDescent="0.3">
      <c r="A148" t="s">
        <v>35</v>
      </c>
      <c r="B148">
        <v>459</v>
      </c>
      <c r="C148" t="s">
        <v>34</v>
      </c>
      <c r="D148">
        <v>10</v>
      </c>
      <c r="E148" t="s">
        <v>25</v>
      </c>
      <c r="F148">
        <v>4590</v>
      </c>
      <c r="G148">
        <v>502</v>
      </c>
      <c r="H148">
        <v>147</v>
      </c>
      <c r="I148">
        <v>212</v>
      </c>
      <c r="J148">
        <v>129</v>
      </c>
      <c r="K148">
        <v>990</v>
      </c>
      <c r="L148">
        <v>0.21568627450980393</v>
      </c>
      <c r="M148">
        <v>0.78431372549019607</v>
      </c>
      <c r="N148">
        <v>0</v>
      </c>
      <c r="O148">
        <v>1</v>
      </c>
      <c r="P148">
        <v>0.21568627450980393</v>
      </c>
      <c r="Q148">
        <v>5</v>
      </c>
      <c r="R148">
        <v>2024</v>
      </c>
      <c r="S148" s="1">
        <v>45413</v>
      </c>
    </row>
    <row r="149" spans="1:19" x14ac:dyDescent="0.3">
      <c r="A149" t="s">
        <v>35</v>
      </c>
      <c r="B149">
        <v>204</v>
      </c>
      <c r="C149" t="s">
        <v>34</v>
      </c>
      <c r="D149">
        <v>10</v>
      </c>
      <c r="E149" t="s">
        <v>26</v>
      </c>
      <c r="F149">
        <v>2040</v>
      </c>
      <c r="G149">
        <v>27</v>
      </c>
      <c r="H149">
        <v>12</v>
      </c>
      <c r="I149">
        <v>155</v>
      </c>
      <c r="J149">
        <v>76</v>
      </c>
      <c r="K149">
        <v>270</v>
      </c>
      <c r="L149">
        <v>0.13235294117647059</v>
      </c>
      <c r="M149">
        <v>0.86764705882352944</v>
      </c>
      <c r="N149">
        <v>0</v>
      </c>
      <c r="O149">
        <v>1</v>
      </c>
      <c r="P149">
        <v>0.13235294117647059</v>
      </c>
      <c r="Q149">
        <v>6</v>
      </c>
      <c r="R149">
        <v>2024</v>
      </c>
      <c r="S149" s="1">
        <v>45444</v>
      </c>
    </row>
    <row r="150" spans="1:19" x14ac:dyDescent="0.3">
      <c r="A150" t="s">
        <v>35</v>
      </c>
      <c r="B150">
        <v>204</v>
      </c>
      <c r="C150" t="s">
        <v>34</v>
      </c>
      <c r="D150">
        <v>23</v>
      </c>
      <c r="E150" t="s">
        <v>27</v>
      </c>
      <c r="F150">
        <v>4692</v>
      </c>
      <c r="G150">
        <v>82</v>
      </c>
      <c r="H150">
        <v>147</v>
      </c>
      <c r="I150">
        <v>226</v>
      </c>
      <c r="J150">
        <v>90</v>
      </c>
      <c r="K150">
        <v>545</v>
      </c>
      <c r="L150">
        <v>0.11615515771526001</v>
      </c>
      <c r="M150">
        <v>0.88384484228474003</v>
      </c>
      <c r="N150">
        <v>0</v>
      </c>
      <c r="O150">
        <v>1</v>
      </c>
      <c r="P150">
        <v>0.11615515771526001</v>
      </c>
      <c r="Q150">
        <v>7</v>
      </c>
      <c r="R150">
        <v>2024</v>
      </c>
      <c r="S150" s="1">
        <v>45474</v>
      </c>
    </row>
    <row r="151" spans="1:19" x14ac:dyDescent="0.3">
      <c r="A151" t="s">
        <v>35</v>
      </c>
      <c r="B151">
        <v>204</v>
      </c>
      <c r="C151" t="s">
        <v>34</v>
      </c>
      <c r="D151">
        <v>22</v>
      </c>
      <c r="E151" t="s">
        <v>28</v>
      </c>
      <c r="F151">
        <v>4488</v>
      </c>
      <c r="G151">
        <v>253</v>
      </c>
      <c r="H151">
        <v>76</v>
      </c>
      <c r="I151">
        <v>85</v>
      </c>
      <c r="J151">
        <v>38</v>
      </c>
      <c r="K151">
        <v>452</v>
      </c>
      <c r="L151">
        <v>0.10071301247771836</v>
      </c>
      <c r="M151">
        <v>0.89928698752228164</v>
      </c>
      <c r="N151">
        <v>0</v>
      </c>
      <c r="O151">
        <v>1</v>
      </c>
      <c r="P151">
        <v>0.10071301247771836</v>
      </c>
      <c r="Q151">
        <v>8</v>
      </c>
      <c r="R151">
        <v>2024</v>
      </c>
      <c r="S151" s="1">
        <v>45505</v>
      </c>
    </row>
    <row r="152" spans="1:19" x14ac:dyDescent="0.3">
      <c r="A152" t="s">
        <v>35</v>
      </c>
      <c r="B152">
        <v>204</v>
      </c>
      <c r="C152" t="s">
        <v>34</v>
      </c>
      <c r="D152">
        <v>20</v>
      </c>
      <c r="E152" t="s">
        <v>29</v>
      </c>
      <c r="F152">
        <v>4080</v>
      </c>
      <c r="G152">
        <v>138</v>
      </c>
      <c r="H152">
        <v>14</v>
      </c>
      <c r="I152">
        <v>136</v>
      </c>
      <c r="J152">
        <v>66</v>
      </c>
      <c r="K152">
        <v>354</v>
      </c>
      <c r="L152">
        <v>8.6764705882352938E-2</v>
      </c>
      <c r="M152">
        <v>0.91323529411764703</v>
      </c>
      <c r="N152">
        <v>0</v>
      </c>
      <c r="O152">
        <v>1</v>
      </c>
      <c r="P152">
        <v>8.6764705882352938E-2</v>
      </c>
      <c r="Q152">
        <v>9</v>
      </c>
      <c r="R152">
        <v>2024</v>
      </c>
      <c r="S152" s="1">
        <v>45536</v>
      </c>
    </row>
    <row r="153" spans="1:19" x14ac:dyDescent="0.3">
      <c r="A153" t="s">
        <v>35</v>
      </c>
      <c r="B153">
        <v>204</v>
      </c>
      <c r="C153" t="s">
        <v>34</v>
      </c>
      <c r="D153">
        <v>22</v>
      </c>
      <c r="E153" t="s">
        <v>30</v>
      </c>
      <c r="F153">
        <v>4488</v>
      </c>
      <c r="G153">
        <v>128</v>
      </c>
      <c r="H153">
        <v>15</v>
      </c>
      <c r="I153">
        <v>118</v>
      </c>
      <c r="J153">
        <v>84</v>
      </c>
      <c r="K153">
        <v>345</v>
      </c>
      <c r="L153">
        <v>7.6871657754010697E-2</v>
      </c>
      <c r="M153">
        <v>0.92312834224598928</v>
      </c>
      <c r="N153">
        <v>0</v>
      </c>
      <c r="O153">
        <v>1</v>
      </c>
      <c r="P153">
        <v>7.6871657754010697E-2</v>
      </c>
      <c r="Q153">
        <v>10</v>
      </c>
      <c r="R153">
        <v>2024</v>
      </c>
      <c r="S153" s="1">
        <v>45566</v>
      </c>
    </row>
    <row r="154" spans="1:19" x14ac:dyDescent="0.3">
      <c r="A154" t="s">
        <v>35</v>
      </c>
      <c r="B154">
        <v>204</v>
      </c>
      <c r="C154" t="s">
        <v>34</v>
      </c>
      <c r="D154">
        <v>21</v>
      </c>
      <c r="E154" t="s">
        <v>31</v>
      </c>
      <c r="F154">
        <v>4284</v>
      </c>
      <c r="G154">
        <v>130</v>
      </c>
      <c r="H154">
        <v>27</v>
      </c>
      <c r="I154">
        <v>137</v>
      </c>
      <c r="J154">
        <v>111</v>
      </c>
      <c r="K154">
        <v>405</v>
      </c>
      <c r="L154">
        <v>9.4537815126050417E-2</v>
      </c>
      <c r="M154">
        <v>0.90546218487394958</v>
      </c>
      <c r="N154">
        <v>0</v>
      </c>
      <c r="O154">
        <v>1</v>
      </c>
      <c r="P154">
        <v>9.4537815126050417E-2</v>
      </c>
      <c r="Q154">
        <v>11</v>
      </c>
      <c r="R154">
        <v>2024</v>
      </c>
      <c r="S154" s="1">
        <v>45597</v>
      </c>
    </row>
    <row r="155" spans="1:19" x14ac:dyDescent="0.3">
      <c r="A155" t="s">
        <v>35</v>
      </c>
      <c r="B155">
        <v>421</v>
      </c>
      <c r="C155" t="s">
        <v>34</v>
      </c>
      <c r="D155">
        <v>25</v>
      </c>
      <c r="E155" t="s">
        <v>32</v>
      </c>
      <c r="F155">
        <v>10525</v>
      </c>
      <c r="G155">
        <v>383</v>
      </c>
      <c r="H155">
        <v>138</v>
      </c>
      <c r="I155">
        <v>292</v>
      </c>
      <c r="J155">
        <v>192</v>
      </c>
      <c r="K155">
        <v>1005</v>
      </c>
      <c r="L155">
        <v>9.5486935866983369E-2</v>
      </c>
      <c r="M155">
        <v>0.90451306413301658</v>
      </c>
      <c r="N155">
        <v>0</v>
      </c>
      <c r="O155">
        <v>1</v>
      </c>
      <c r="P155">
        <v>9.5486935866983369E-2</v>
      </c>
      <c r="Q155">
        <v>12</v>
      </c>
      <c r="R155">
        <v>2024</v>
      </c>
      <c r="S155" s="1">
        <v>45627</v>
      </c>
    </row>
    <row r="156" spans="1:19" x14ac:dyDescent="0.3">
      <c r="A156" t="s">
        <v>35</v>
      </c>
      <c r="B156">
        <v>421</v>
      </c>
      <c r="C156" t="s">
        <v>34</v>
      </c>
      <c r="D156">
        <v>24</v>
      </c>
      <c r="E156" t="s">
        <v>21</v>
      </c>
      <c r="F156">
        <v>10104</v>
      </c>
      <c r="G156">
        <v>440</v>
      </c>
      <c r="H156">
        <v>29</v>
      </c>
      <c r="I156">
        <v>279</v>
      </c>
      <c r="J156">
        <v>99</v>
      </c>
      <c r="K156">
        <v>847</v>
      </c>
      <c r="L156">
        <v>8.3828186856690426E-2</v>
      </c>
      <c r="M156">
        <v>0.91617181314330953</v>
      </c>
      <c r="N156">
        <v>0.1079</v>
      </c>
      <c r="O156">
        <v>0.8921</v>
      </c>
      <c r="P156">
        <v>-2.407181314330957E-2</v>
      </c>
      <c r="Q156">
        <v>1</v>
      </c>
      <c r="R156">
        <v>2025</v>
      </c>
      <c r="S156" s="1">
        <v>45658</v>
      </c>
    </row>
    <row r="157" spans="1:19" x14ac:dyDescent="0.3">
      <c r="A157" t="s">
        <v>35</v>
      </c>
      <c r="B157">
        <v>421</v>
      </c>
      <c r="C157" t="s">
        <v>34</v>
      </c>
      <c r="D157">
        <v>22</v>
      </c>
      <c r="E157" t="s">
        <v>22</v>
      </c>
      <c r="F157">
        <v>9262</v>
      </c>
      <c r="G157">
        <v>511</v>
      </c>
      <c r="H157">
        <v>62</v>
      </c>
      <c r="I157">
        <v>196</v>
      </c>
      <c r="J157">
        <v>84</v>
      </c>
      <c r="K157">
        <v>853</v>
      </c>
      <c r="L157">
        <v>9.2096739365147923E-2</v>
      </c>
      <c r="M157">
        <v>0.90790326063485205</v>
      </c>
      <c r="N157">
        <v>0.12</v>
      </c>
      <c r="O157">
        <v>0.88</v>
      </c>
      <c r="P157">
        <v>-2.7903260634852073E-2</v>
      </c>
      <c r="Q157">
        <v>2</v>
      </c>
      <c r="R157">
        <v>2025</v>
      </c>
      <c r="S157" s="1">
        <v>45689</v>
      </c>
    </row>
    <row r="158" spans="1:19" x14ac:dyDescent="0.3">
      <c r="A158" t="s">
        <v>35</v>
      </c>
      <c r="B158">
        <v>421</v>
      </c>
      <c r="C158" t="s">
        <v>34</v>
      </c>
      <c r="D158">
        <v>25</v>
      </c>
      <c r="E158" t="s">
        <v>23</v>
      </c>
      <c r="F158">
        <v>10525</v>
      </c>
      <c r="G158">
        <v>600</v>
      </c>
      <c r="H158">
        <v>68</v>
      </c>
      <c r="I158">
        <v>167</v>
      </c>
      <c r="J158">
        <v>84</v>
      </c>
      <c r="K158">
        <v>919</v>
      </c>
      <c r="L158">
        <v>8.7315914489311169E-2</v>
      </c>
      <c r="M158">
        <v>0.9126840855106888</v>
      </c>
      <c r="N158">
        <v>0.1149</v>
      </c>
      <c r="O158">
        <v>0.8851</v>
      </c>
      <c r="P158">
        <v>-2.7584085510688833E-2</v>
      </c>
      <c r="Q158">
        <v>3</v>
      </c>
      <c r="R158">
        <v>2025</v>
      </c>
      <c r="S158" s="1">
        <v>45717</v>
      </c>
    </row>
    <row r="159" spans="1:19" x14ac:dyDescent="0.3">
      <c r="A159" t="s">
        <v>35</v>
      </c>
      <c r="B159">
        <v>421</v>
      </c>
      <c r="C159" t="s">
        <v>34</v>
      </c>
      <c r="D159">
        <v>25</v>
      </c>
      <c r="E159" t="s">
        <v>24</v>
      </c>
      <c r="F159">
        <v>10525</v>
      </c>
      <c r="G159">
        <v>716</v>
      </c>
      <c r="H159">
        <v>89</v>
      </c>
      <c r="I159">
        <v>182</v>
      </c>
      <c r="J159">
        <v>98</v>
      </c>
      <c r="K159">
        <v>1085</v>
      </c>
      <c r="L159">
        <v>0.10308788598574822</v>
      </c>
      <c r="M159">
        <v>0.89691211401425175</v>
      </c>
      <c r="N159">
        <v>0.1366</v>
      </c>
      <c r="O159">
        <v>0.86339999999999995</v>
      </c>
      <c r="P159">
        <v>-3.3512114014251776E-2</v>
      </c>
      <c r="Q159">
        <v>4</v>
      </c>
      <c r="R159">
        <v>2025</v>
      </c>
      <c r="S159" s="1">
        <v>45748</v>
      </c>
    </row>
    <row r="160" spans="1:19" x14ac:dyDescent="0.3">
      <c r="A160" t="s">
        <v>35</v>
      </c>
      <c r="B160">
        <v>421</v>
      </c>
      <c r="C160" t="s">
        <v>34</v>
      </c>
      <c r="D160">
        <v>25</v>
      </c>
      <c r="E160" t="s">
        <v>25</v>
      </c>
      <c r="F160">
        <v>10525</v>
      </c>
      <c r="G160">
        <v>286</v>
      </c>
      <c r="H160">
        <v>320</v>
      </c>
      <c r="I160">
        <v>114</v>
      </c>
      <c r="J160">
        <v>26</v>
      </c>
      <c r="K160">
        <v>746</v>
      </c>
      <c r="L160">
        <v>7.0878859857482185E-2</v>
      </c>
      <c r="M160">
        <v>0.92912114014251779</v>
      </c>
      <c r="N160">
        <v>7.1599999999999997E-2</v>
      </c>
      <c r="O160">
        <v>0.9284</v>
      </c>
      <c r="P160">
        <v>-7.2114014251781211E-4</v>
      </c>
      <c r="Q160">
        <v>5</v>
      </c>
      <c r="R160">
        <v>2025</v>
      </c>
      <c r="S160" s="1">
        <v>45778</v>
      </c>
    </row>
    <row r="161" spans="1:19" x14ac:dyDescent="0.3">
      <c r="A161" t="s">
        <v>35</v>
      </c>
      <c r="B161">
        <v>204</v>
      </c>
      <c r="C161" t="s">
        <v>34</v>
      </c>
      <c r="D161">
        <v>25</v>
      </c>
      <c r="E161" t="s">
        <v>26</v>
      </c>
      <c r="F161">
        <v>5100</v>
      </c>
      <c r="G161">
        <v>53</v>
      </c>
      <c r="H161">
        <v>275</v>
      </c>
      <c r="I161">
        <v>24</v>
      </c>
      <c r="J161">
        <v>9</v>
      </c>
      <c r="K161">
        <v>361</v>
      </c>
      <c r="L161">
        <v>7.0784313725490197E-2</v>
      </c>
      <c r="M161">
        <v>0.92921568627450979</v>
      </c>
      <c r="N161">
        <v>0.1142</v>
      </c>
      <c r="O161">
        <v>0.88580000000000003</v>
      </c>
      <c r="P161">
        <v>-4.3415686274509799E-2</v>
      </c>
      <c r="Q161">
        <v>6</v>
      </c>
      <c r="R161">
        <v>2025</v>
      </c>
      <c r="S161" s="1">
        <v>45809</v>
      </c>
    </row>
    <row r="162" spans="1:19" x14ac:dyDescent="0.3">
      <c r="A162" t="s">
        <v>35</v>
      </c>
      <c r="B162">
        <v>204</v>
      </c>
      <c r="C162" t="s">
        <v>34</v>
      </c>
      <c r="D162">
        <v>23</v>
      </c>
      <c r="E162" t="s">
        <v>27</v>
      </c>
      <c r="F162">
        <v>4692</v>
      </c>
      <c r="G162">
        <v>252</v>
      </c>
      <c r="H162">
        <v>146</v>
      </c>
      <c r="I162">
        <v>210</v>
      </c>
      <c r="J162">
        <v>22</v>
      </c>
      <c r="K162">
        <v>630</v>
      </c>
      <c r="L162">
        <v>0.13427109974424553</v>
      </c>
      <c r="M162">
        <v>0.86572890025575444</v>
      </c>
      <c r="N162">
        <v>0.1002</v>
      </c>
      <c r="O162">
        <v>0.89980000000000004</v>
      </c>
      <c r="P162">
        <v>3.4071099744245534E-2</v>
      </c>
      <c r="Q162">
        <v>7</v>
      </c>
      <c r="R162">
        <v>2025</v>
      </c>
      <c r="S162" s="1">
        <v>45839</v>
      </c>
    </row>
    <row r="163" spans="1:19" x14ac:dyDescent="0.3">
      <c r="A163" t="s">
        <v>35</v>
      </c>
      <c r="B163">
        <v>204</v>
      </c>
      <c r="C163" t="s">
        <v>34</v>
      </c>
      <c r="D163">
        <v>22</v>
      </c>
      <c r="E163" t="s">
        <v>28</v>
      </c>
      <c r="F163">
        <v>4488</v>
      </c>
      <c r="G163">
        <v>244</v>
      </c>
      <c r="H163">
        <v>70</v>
      </c>
      <c r="I163">
        <v>134</v>
      </c>
      <c r="J163">
        <v>5</v>
      </c>
      <c r="K163">
        <v>453</v>
      </c>
      <c r="L163">
        <v>0.10093582887700535</v>
      </c>
      <c r="M163">
        <v>0.89906417112299464</v>
      </c>
      <c r="N163">
        <v>8.6900000000000005E-2</v>
      </c>
      <c r="O163">
        <v>0.91310000000000002</v>
      </c>
      <c r="P163">
        <v>1.4035828877005344E-2</v>
      </c>
      <c r="Q163">
        <v>8</v>
      </c>
      <c r="R163">
        <v>2025</v>
      </c>
      <c r="S163" s="1">
        <v>45870</v>
      </c>
    </row>
    <row r="164" spans="1:19" x14ac:dyDescent="0.3">
      <c r="A164" t="s">
        <v>35</v>
      </c>
      <c r="B164">
        <v>204</v>
      </c>
      <c r="C164" t="s">
        <v>34</v>
      </c>
      <c r="D164">
        <v>20</v>
      </c>
      <c r="E164" t="s">
        <v>29</v>
      </c>
      <c r="F164">
        <v>4080</v>
      </c>
      <c r="G164">
        <v>223</v>
      </c>
      <c r="H164">
        <v>21</v>
      </c>
      <c r="I164">
        <v>120</v>
      </c>
      <c r="J164">
        <v>9</v>
      </c>
      <c r="K164">
        <v>373</v>
      </c>
      <c r="L164">
        <v>9.1421568627450975E-2</v>
      </c>
      <c r="M164">
        <v>0.90857843137254901</v>
      </c>
      <c r="N164">
        <v>7.4899999999999994E-2</v>
      </c>
      <c r="O164">
        <v>0.92510000000000003</v>
      </c>
      <c r="P164">
        <v>1.652156862745098E-2</v>
      </c>
      <c r="Q164">
        <v>9</v>
      </c>
      <c r="R164">
        <v>2025</v>
      </c>
      <c r="S164" s="1">
        <v>45901</v>
      </c>
    </row>
    <row r="165" spans="1:19" x14ac:dyDescent="0.3">
      <c r="A165" t="s">
        <v>35</v>
      </c>
      <c r="B165">
        <v>204</v>
      </c>
      <c r="C165" t="s">
        <v>34</v>
      </c>
      <c r="D165">
        <v>20</v>
      </c>
      <c r="E165" t="s">
        <v>30</v>
      </c>
      <c r="F165">
        <v>4080</v>
      </c>
      <c r="G165">
        <v>27</v>
      </c>
      <c r="H165">
        <v>12</v>
      </c>
      <c r="I165">
        <v>155</v>
      </c>
      <c r="J165">
        <v>76</v>
      </c>
      <c r="K165">
        <v>270</v>
      </c>
      <c r="L165">
        <v>6.6176470588235295E-2</v>
      </c>
      <c r="M165">
        <v>0.93382352941176472</v>
      </c>
      <c r="N165">
        <v>6.6299999999999998E-2</v>
      </c>
      <c r="O165">
        <v>0.93369999999999997</v>
      </c>
      <c r="P165">
        <v>-1.2352941176470289E-4</v>
      </c>
      <c r="Q165">
        <v>10</v>
      </c>
      <c r="R165">
        <v>2025</v>
      </c>
      <c r="S165" s="1">
        <v>45931</v>
      </c>
    </row>
    <row r="166" spans="1:19" x14ac:dyDescent="0.3">
      <c r="A166" t="s">
        <v>35</v>
      </c>
      <c r="B166">
        <v>204</v>
      </c>
      <c r="C166" t="s">
        <v>34</v>
      </c>
      <c r="D166">
        <v>22</v>
      </c>
      <c r="E166" t="s">
        <v>31</v>
      </c>
      <c r="F166">
        <v>4488</v>
      </c>
      <c r="G166">
        <v>157</v>
      </c>
      <c r="H166">
        <v>83</v>
      </c>
      <c r="I166">
        <v>72</v>
      </c>
      <c r="J166">
        <v>32</v>
      </c>
      <c r="K166">
        <v>344</v>
      </c>
      <c r="L166">
        <v>7.6648841354723704E-2</v>
      </c>
      <c r="M166">
        <v>0.92335115864527628</v>
      </c>
      <c r="N166">
        <v>8.1600000000000006E-2</v>
      </c>
      <c r="O166">
        <v>0.91839999999999999</v>
      </c>
      <c r="P166">
        <v>-4.9511586452763018E-3</v>
      </c>
      <c r="Q166">
        <v>11</v>
      </c>
      <c r="R166">
        <v>2025</v>
      </c>
      <c r="S166" s="1">
        <v>45962</v>
      </c>
    </row>
    <row r="167" spans="1:19" x14ac:dyDescent="0.3">
      <c r="A167" t="s">
        <v>35</v>
      </c>
      <c r="B167">
        <v>131</v>
      </c>
      <c r="C167" t="s">
        <v>20</v>
      </c>
      <c r="D167">
        <v>22</v>
      </c>
      <c r="E167" t="s">
        <v>31</v>
      </c>
      <c r="F167">
        <v>2882</v>
      </c>
      <c r="G167">
        <v>0</v>
      </c>
      <c r="H167">
        <v>0</v>
      </c>
      <c r="I167">
        <v>24</v>
      </c>
      <c r="J167">
        <v>0</v>
      </c>
      <c r="K167">
        <v>24</v>
      </c>
      <c r="L167">
        <v>8.3275503122831364E-3</v>
      </c>
      <c r="M167">
        <v>0.99167244968771684</v>
      </c>
      <c r="N167">
        <v>8.1600000000000006E-2</v>
      </c>
      <c r="O167">
        <v>0.91839999999999999</v>
      </c>
      <c r="P167">
        <v>-7.3272449687716873E-2</v>
      </c>
      <c r="Q167">
        <v>11</v>
      </c>
      <c r="R167">
        <v>2025</v>
      </c>
      <c r="S167" s="1">
        <v>45962</v>
      </c>
    </row>
    <row r="168" spans="1:19" x14ac:dyDescent="0.3">
      <c r="A168" t="s">
        <v>35</v>
      </c>
      <c r="B168">
        <v>421</v>
      </c>
      <c r="C168" t="s">
        <v>34</v>
      </c>
      <c r="D168">
        <v>25</v>
      </c>
      <c r="E168" t="s">
        <v>32</v>
      </c>
      <c r="F168">
        <v>10525</v>
      </c>
      <c r="G168">
        <v>323</v>
      </c>
      <c r="H168">
        <v>252</v>
      </c>
      <c r="I168">
        <v>161</v>
      </c>
      <c r="J168">
        <v>43</v>
      </c>
      <c r="K168">
        <v>779</v>
      </c>
      <c r="L168">
        <v>7.4014251781472681E-2</v>
      </c>
      <c r="M168">
        <v>0.9259857482185273</v>
      </c>
      <c r="N168">
        <v>6.4899999999999999E-2</v>
      </c>
      <c r="O168">
        <v>0.93510000000000004</v>
      </c>
      <c r="P168">
        <v>9.114251781472682E-3</v>
      </c>
      <c r="Q168">
        <v>12</v>
      </c>
      <c r="R168">
        <v>2025</v>
      </c>
      <c r="S168" s="1">
        <v>45992</v>
      </c>
    </row>
    <row r="169" spans="1:19" x14ac:dyDescent="0.3">
      <c r="A169" t="s">
        <v>35</v>
      </c>
      <c r="B169">
        <v>131</v>
      </c>
      <c r="C169" t="s">
        <v>20</v>
      </c>
      <c r="D169">
        <v>25</v>
      </c>
      <c r="E169" t="s">
        <v>32</v>
      </c>
      <c r="F169">
        <v>3275</v>
      </c>
      <c r="G169">
        <v>0</v>
      </c>
      <c r="H169">
        <v>0</v>
      </c>
      <c r="I169">
        <v>28</v>
      </c>
      <c r="J169">
        <v>0</v>
      </c>
      <c r="K169">
        <v>28</v>
      </c>
      <c r="L169">
        <v>8.5496183206106875E-3</v>
      </c>
      <c r="M169">
        <v>0.99145038167938926</v>
      </c>
      <c r="N169">
        <v>6.4899999999999999E-2</v>
      </c>
      <c r="O169">
        <v>0.93510000000000004</v>
      </c>
      <c r="P169">
        <v>-5.6350381679389314E-2</v>
      </c>
      <c r="Q169">
        <v>12</v>
      </c>
      <c r="R169">
        <v>2025</v>
      </c>
      <c r="S169" s="1">
        <v>45992</v>
      </c>
    </row>
    <row r="170" spans="1:19" x14ac:dyDescent="0.3">
      <c r="A170" t="s">
        <v>35</v>
      </c>
      <c r="B170">
        <v>421</v>
      </c>
      <c r="C170" t="s">
        <v>34</v>
      </c>
      <c r="D170">
        <v>25</v>
      </c>
      <c r="E170" t="s">
        <v>21</v>
      </c>
      <c r="F170">
        <v>10525</v>
      </c>
      <c r="G170">
        <v>359</v>
      </c>
      <c r="H170">
        <v>195</v>
      </c>
      <c r="I170">
        <v>146</v>
      </c>
      <c r="J170">
        <v>44</v>
      </c>
      <c r="K170">
        <v>744</v>
      </c>
      <c r="L170">
        <v>7.068883610451307E-2</v>
      </c>
      <c r="M170">
        <v>0.92931116389548696</v>
      </c>
      <c r="N170">
        <v>7.6499999999999999E-2</v>
      </c>
      <c r="O170">
        <v>0.92349999999999999</v>
      </c>
      <c r="P170">
        <v>-5.8111638954869288E-3</v>
      </c>
      <c r="Q170">
        <v>1</v>
      </c>
      <c r="R170">
        <v>2026</v>
      </c>
      <c r="S170" s="1">
        <v>46023</v>
      </c>
    </row>
    <row r="171" spans="1:19" x14ac:dyDescent="0.3">
      <c r="A171" t="s">
        <v>35</v>
      </c>
      <c r="B171">
        <v>129</v>
      </c>
      <c r="C171" t="s">
        <v>20</v>
      </c>
      <c r="D171">
        <v>25</v>
      </c>
      <c r="E171" t="s">
        <v>21</v>
      </c>
      <c r="F171">
        <v>3225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7.6499999999999999E-2</v>
      </c>
      <c r="O171">
        <v>0.92349999999999999</v>
      </c>
      <c r="P171">
        <v>-7.6499999999999999E-2</v>
      </c>
      <c r="Q171">
        <v>1</v>
      </c>
      <c r="R171">
        <v>2026</v>
      </c>
      <c r="S171" s="1">
        <v>46023</v>
      </c>
    </row>
    <row r="172" spans="1:19" x14ac:dyDescent="0.3">
      <c r="A172" t="s">
        <v>35</v>
      </c>
      <c r="B172">
        <v>421</v>
      </c>
      <c r="C172" t="s">
        <v>34</v>
      </c>
      <c r="D172">
        <v>23</v>
      </c>
      <c r="E172" t="s">
        <v>22</v>
      </c>
      <c r="F172">
        <v>9683</v>
      </c>
      <c r="G172">
        <v>497</v>
      </c>
      <c r="H172">
        <v>142</v>
      </c>
      <c r="I172">
        <v>147</v>
      </c>
      <c r="J172">
        <v>37</v>
      </c>
      <c r="K172">
        <v>823</v>
      </c>
      <c r="L172">
        <v>8.4994319942166691E-2</v>
      </c>
      <c r="M172">
        <v>0.91500568005783334</v>
      </c>
      <c r="N172">
        <v>8.4099999999999994E-2</v>
      </c>
      <c r="O172">
        <v>0.91590000000000005</v>
      </c>
      <c r="P172">
        <v>8.9431994216669641E-4</v>
      </c>
      <c r="Q172">
        <v>2</v>
      </c>
      <c r="R172">
        <v>2026</v>
      </c>
      <c r="S172" s="1">
        <v>46054</v>
      </c>
    </row>
    <row r="173" spans="1:19" x14ac:dyDescent="0.3">
      <c r="A173" t="s">
        <v>35</v>
      </c>
      <c r="B173">
        <v>130</v>
      </c>
      <c r="C173" t="s">
        <v>20</v>
      </c>
      <c r="D173">
        <v>23</v>
      </c>
      <c r="E173" t="s">
        <v>22</v>
      </c>
      <c r="F173">
        <v>2990</v>
      </c>
      <c r="G173">
        <v>0</v>
      </c>
      <c r="H173">
        <v>0</v>
      </c>
      <c r="I173">
        <v>23</v>
      </c>
      <c r="J173">
        <v>0</v>
      </c>
      <c r="K173">
        <v>23</v>
      </c>
      <c r="L173">
        <v>7.6923076923076927E-3</v>
      </c>
      <c r="M173">
        <v>0.99230769230769234</v>
      </c>
      <c r="N173">
        <v>8.4099999999999994E-2</v>
      </c>
      <c r="O173">
        <v>0.91590000000000005</v>
      </c>
      <c r="P173">
        <v>-7.6407692307692301E-2</v>
      </c>
      <c r="Q173">
        <v>2</v>
      </c>
      <c r="R173">
        <v>2026</v>
      </c>
      <c r="S173" s="1">
        <v>46054</v>
      </c>
    </row>
    <row r="174" spans="1:19" x14ac:dyDescent="0.3">
      <c r="A174" t="s">
        <v>35</v>
      </c>
      <c r="B174">
        <v>421</v>
      </c>
      <c r="C174" t="s">
        <v>34</v>
      </c>
      <c r="D174">
        <v>25</v>
      </c>
      <c r="E174" t="s">
        <v>23</v>
      </c>
      <c r="F174">
        <v>10525</v>
      </c>
      <c r="G174">
        <v>472</v>
      </c>
      <c r="H174">
        <v>160</v>
      </c>
      <c r="I174">
        <v>126</v>
      </c>
      <c r="J174">
        <v>82</v>
      </c>
      <c r="K174">
        <v>840</v>
      </c>
      <c r="L174">
        <v>7.9809976247030873E-2</v>
      </c>
      <c r="M174">
        <v>0.9201900237529691</v>
      </c>
      <c r="N174">
        <v>7.9699999999999993E-2</v>
      </c>
      <c r="O174">
        <v>0.92030000000000001</v>
      </c>
      <c r="P174">
        <v>1.099762470308796E-4</v>
      </c>
      <c r="Q174">
        <v>3</v>
      </c>
      <c r="R174">
        <v>2026</v>
      </c>
      <c r="S174" s="1">
        <v>46082</v>
      </c>
    </row>
    <row r="175" spans="1:19" x14ac:dyDescent="0.3">
      <c r="A175" t="s">
        <v>35</v>
      </c>
      <c r="B175">
        <v>133</v>
      </c>
      <c r="C175" t="s">
        <v>20</v>
      </c>
      <c r="D175">
        <v>25</v>
      </c>
      <c r="E175" t="s">
        <v>23</v>
      </c>
      <c r="F175">
        <v>3325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</v>
      </c>
      <c r="N175">
        <v>7.9699999999999993E-2</v>
      </c>
      <c r="O175">
        <v>0.92030000000000001</v>
      </c>
      <c r="P175">
        <v>-7.9699999999999993E-2</v>
      </c>
      <c r="Q175">
        <v>3</v>
      </c>
      <c r="R175">
        <v>2026</v>
      </c>
      <c r="S175" s="1">
        <v>46082</v>
      </c>
    </row>
    <row r="176" spans="1:19" x14ac:dyDescent="0.3">
      <c r="A176" t="s">
        <v>35</v>
      </c>
      <c r="B176">
        <v>421</v>
      </c>
      <c r="C176" t="s">
        <v>34</v>
      </c>
      <c r="D176">
        <v>26</v>
      </c>
      <c r="E176" t="s">
        <v>24</v>
      </c>
      <c r="F176">
        <v>10946</v>
      </c>
      <c r="G176">
        <v>299</v>
      </c>
      <c r="H176">
        <v>190</v>
      </c>
      <c r="I176">
        <v>141</v>
      </c>
      <c r="J176">
        <v>151</v>
      </c>
      <c r="K176">
        <v>781</v>
      </c>
      <c r="L176">
        <v>7.1350264936963267E-2</v>
      </c>
      <c r="M176">
        <v>0.92864973506303672</v>
      </c>
      <c r="N176">
        <v>9.4100000000000003E-2</v>
      </c>
      <c r="O176">
        <v>0.90590000000000004</v>
      </c>
      <c r="P176">
        <v>-2.2749735063036736E-2</v>
      </c>
      <c r="Q176">
        <v>4</v>
      </c>
      <c r="R176">
        <v>2026</v>
      </c>
      <c r="S176" s="1">
        <v>46113</v>
      </c>
    </row>
    <row r="177" spans="1:19" x14ac:dyDescent="0.3">
      <c r="A177" t="s">
        <v>35</v>
      </c>
      <c r="B177">
        <v>135</v>
      </c>
      <c r="C177" t="s">
        <v>20</v>
      </c>
      <c r="D177">
        <v>26</v>
      </c>
      <c r="E177" t="s">
        <v>24</v>
      </c>
      <c r="F177">
        <v>3510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9.4100000000000003E-2</v>
      </c>
      <c r="O177">
        <v>0.90590000000000004</v>
      </c>
      <c r="P177">
        <v>-9.4100000000000003E-2</v>
      </c>
      <c r="Q177">
        <v>4</v>
      </c>
      <c r="R177">
        <v>2026</v>
      </c>
      <c r="S177" s="1">
        <v>46113</v>
      </c>
    </row>
    <row r="178" spans="1:19" x14ac:dyDescent="0.3">
      <c r="A178" t="s">
        <v>35</v>
      </c>
      <c r="C178" t="s">
        <v>34</v>
      </c>
      <c r="E178" t="s">
        <v>25</v>
      </c>
      <c r="N178">
        <v>6.4699999999999994E-2</v>
      </c>
      <c r="O178">
        <v>0.93530000000000002</v>
      </c>
      <c r="Q178">
        <v>5</v>
      </c>
      <c r="R178">
        <v>2026</v>
      </c>
      <c r="S178" s="1">
        <v>46143</v>
      </c>
    </row>
    <row r="179" spans="1:19" x14ac:dyDescent="0.3">
      <c r="A179" t="s">
        <v>35</v>
      </c>
      <c r="C179" t="s">
        <v>20</v>
      </c>
      <c r="E179" t="s">
        <v>25</v>
      </c>
      <c r="N179">
        <v>6.4699999999999994E-2</v>
      </c>
      <c r="O179">
        <v>0.93530000000000002</v>
      </c>
      <c r="Q179">
        <v>5</v>
      </c>
      <c r="R179">
        <v>2026</v>
      </c>
      <c r="S179" s="1">
        <v>46143</v>
      </c>
    </row>
    <row r="180" spans="1:19" x14ac:dyDescent="0.3">
      <c r="A180" t="s">
        <v>35</v>
      </c>
      <c r="C180" t="s">
        <v>34</v>
      </c>
      <c r="E180" t="s">
        <v>26</v>
      </c>
      <c r="N180">
        <v>6.4600000000000005E-2</v>
      </c>
      <c r="O180">
        <v>0.93540000000000001</v>
      </c>
      <c r="Q180">
        <v>6</v>
      </c>
      <c r="R180">
        <v>2026</v>
      </c>
      <c r="S180" s="1">
        <v>46174</v>
      </c>
    </row>
    <row r="181" spans="1:19" x14ac:dyDescent="0.3">
      <c r="A181" t="s">
        <v>35</v>
      </c>
      <c r="C181" t="s">
        <v>20</v>
      </c>
      <c r="E181" t="s">
        <v>26</v>
      </c>
      <c r="N181">
        <v>6.4600000000000005E-2</v>
      </c>
      <c r="O181">
        <v>0.93540000000000001</v>
      </c>
      <c r="Q181">
        <v>6</v>
      </c>
      <c r="R181">
        <v>2026</v>
      </c>
      <c r="S181" s="1">
        <v>46174</v>
      </c>
    </row>
    <row r="182" spans="1:19" x14ac:dyDescent="0.3">
      <c r="A182" t="s">
        <v>35</v>
      </c>
      <c r="C182" t="s">
        <v>34</v>
      </c>
      <c r="E182" t="s">
        <v>27</v>
      </c>
      <c r="N182">
        <v>0.1226</v>
      </c>
      <c r="O182">
        <v>0.87739999999999996</v>
      </c>
      <c r="Q182">
        <v>7</v>
      </c>
      <c r="R182">
        <v>2026</v>
      </c>
      <c r="S182" s="1">
        <v>46204</v>
      </c>
    </row>
    <row r="183" spans="1:19" x14ac:dyDescent="0.3">
      <c r="A183" t="s">
        <v>35</v>
      </c>
      <c r="C183" t="s">
        <v>20</v>
      </c>
      <c r="E183" t="s">
        <v>27</v>
      </c>
      <c r="N183">
        <v>0.1226</v>
      </c>
      <c r="O183">
        <v>0.87739999999999996</v>
      </c>
      <c r="Q183">
        <v>7</v>
      </c>
      <c r="R183">
        <v>2026</v>
      </c>
      <c r="S183" s="1">
        <v>46204</v>
      </c>
    </row>
    <row r="184" spans="1:19" x14ac:dyDescent="0.3">
      <c r="A184" t="s">
        <v>35</v>
      </c>
      <c r="C184" t="s">
        <v>34</v>
      </c>
      <c r="E184" t="s">
        <v>28</v>
      </c>
      <c r="N184">
        <v>9.2200000000000004E-2</v>
      </c>
      <c r="O184">
        <v>0.90779999999999994</v>
      </c>
      <c r="Q184">
        <v>8</v>
      </c>
      <c r="R184">
        <v>2026</v>
      </c>
      <c r="S184" s="1">
        <v>46235</v>
      </c>
    </row>
    <row r="185" spans="1:19" x14ac:dyDescent="0.3">
      <c r="A185" t="s">
        <v>35</v>
      </c>
      <c r="C185" t="s">
        <v>20</v>
      </c>
      <c r="E185" t="s">
        <v>28</v>
      </c>
      <c r="N185">
        <v>9.2200000000000004E-2</v>
      </c>
      <c r="O185">
        <v>0.90779999999999994</v>
      </c>
      <c r="Q185">
        <v>8</v>
      </c>
      <c r="R185">
        <v>2026</v>
      </c>
      <c r="S185" s="1">
        <v>46235</v>
      </c>
    </row>
    <row r="186" spans="1:19" x14ac:dyDescent="0.3">
      <c r="A186" t="s">
        <v>35</v>
      </c>
      <c r="C186" t="s">
        <v>34</v>
      </c>
      <c r="E186" t="s">
        <v>29</v>
      </c>
      <c r="N186">
        <v>8.3500000000000005E-2</v>
      </c>
      <c r="O186">
        <v>0.91649999999999998</v>
      </c>
      <c r="Q186">
        <v>9</v>
      </c>
      <c r="R186">
        <v>2026</v>
      </c>
      <c r="S186" s="1">
        <v>46266</v>
      </c>
    </row>
    <row r="187" spans="1:19" x14ac:dyDescent="0.3">
      <c r="A187" t="s">
        <v>35</v>
      </c>
      <c r="C187" t="s">
        <v>20</v>
      </c>
      <c r="E187" t="s">
        <v>29</v>
      </c>
      <c r="N187">
        <v>8.3500000000000005E-2</v>
      </c>
      <c r="O187">
        <v>0.91649999999999998</v>
      </c>
      <c r="Q187">
        <v>9</v>
      </c>
      <c r="R187">
        <v>2026</v>
      </c>
      <c r="S187" s="1">
        <v>46266</v>
      </c>
    </row>
    <row r="188" spans="1:19" x14ac:dyDescent="0.3">
      <c r="A188" t="s">
        <v>35</v>
      </c>
      <c r="C188" t="s">
        <v>34</v>
      </c>
      <c r="E188" t="s">
        <v>30</v>
      </c>
      <c r="N188">
        <v>6.0400000000000002E-2</v>
      </c>
      <c r="O188">
        <v>0.93959999999999999</v>
      </c>
      <c r="Q188">
        <v>10</v>
      </c>
      <c r="R188">
        <v>2026</v>
      </c>
      <c r="S188" s="1">
        <v>46296</v>
      </c>
    </row>
    <row r="189" spans="1:19" x14ac:dyDescent="0.3">
      <c r="A189" t="s">
        <v>35</v>
      </c>
      <c r="C189" t="s">
        <v>20</v>
      </c>
      <c r="E189" t="s">
        <v>30</v>
      </c>
      <c r="N189">
        <v>6.0400000000000002E-2</v>
      </c>
      <c r="O189">
        <v>0.93959999999999999</v>
      </c>
      <c r="Q189">
        <v>10</v>
      </c>
      <c r="R189">
        <v>2026</v>
      </c>
      <c r="S189" s="1">
        <v>46296</v>
      </c>
    </row>
    <row r="190" spans="1:19" x14ac:dyDescent="0.3">
      <c r="A190" t="s">
        <v>35</v>
      </c>
      <c r="C190" t="s">
        <v>34</v>
      </c>
      <c r="E190" t="s">
        <v>31</v>
      </c>
      <c r="N190">
        <v>6.9900000000000004E-2</v>
      </c>
      <c r="O190">
        <v>0.93010000000000004</v>
      </c>
      <c r="Q190">
        <v>11</v>
      </c>
      <c r="R190">
        <v>2026</v>
      </c>
      <c r="S190" s="1">
        <v>46327</v>
      </c>
    </row>
    <row r="191" spans="1:19" x14ac:dyDescent="0.3">
      <c r="A191" t="s">
        <v>35</v>
      </c>
      <c r="C191" t="s">
        <v>20</v>
      </c>
      <c r="E191" t="s">
        <v>31</v>
      </c>
      <c r="N191">
        <v>6.9900000000000004E-2</v>
      </c>
      <c r="O191">
        <v>0.93010000000000004</v>
      </c>
      <c r="Q191">
        <v>11</v>
      </c>
      <c r="R191">
        <v>2026</v>
      </c>
      <c r="S191" s="1">
        <v>46327</v>
      </c>
    </row>
    <row r="192" spans="1:19" x14ac:dyDescent="0.3">
      <c r="A192" t="s">
        <v>35</v>
      </c>
      <c r="C192" t="s">
        <v>34</v>
      </c>
      <c r="E192" t="s">
        <v>32</v>
      </c>
      <c r="N192">
        <v>6.7599999999999993E-2</v>
      </c>
      <c r="O192">
        <v>0.93240000000000001</v>
      </c>
      <c r="Q192">
        <v>12</v>
      </c>
      <c r="R192">
        <v>2026</v>
      </c>
      <c r="S192" s="1">
        <v>46357</v>
      </c>
    </row>
    <row r="193" spans="1:19" x14ac:dyDescent="0.3">
      <c r="A193" t="s">
        <v>35</v>
      </c>
      <c r="C193" t="s">
        <v>20</v>
      </c>
      <c r="E193" t="s">
        <v>32</v>
      </c>
      <c r="N193">
        <v>6.7599999999999993E-2</v>
      </c>
      <c r="O193">
        <v>0.93240000000000001</v>
      </c>
      <c r="Q193">
        <v>12</v>
      </c>
      <c r="R193">
        <v>2026</v>
      </c>
      <c r="S193" s="1">
        <v>46357</v>
      </c>
    </row>
    <row r="194" spans="1:19" x14ac:dyDescent="0.3">
      <c r="A194" t="s">
        <v>36</v>
      </c>
      <c r="B194">
        <v>142</v>
      </c>
      <c r="C194" t="s">
        <v>20</v>
      </c>
      <c r="D194">
        <v>26</v>
      </c>
      <c r="E194" t="s">
        <v>21</v>
      </c>
      <c r="F194">
        <v>3692</v>
      </c>
      <c r="G194">
        <v>0</v>
      </c>
      <c r="H194">
        <v>0</v>
      </c>
      <c r="I194">
        <v>8</v>
      </c>
      <c r="J194">
        <v>21</v>
      </c>
      <c r="K194">
        <v>29</v>
      </c>
      <c r="L194">
        <v>7.8548212351029247E-3</v>
      </c>
      <c r="M194">
        <v>0.99214517876489705</v>
      </c>
      <c r="N194">
        <v>0</v>
      </c>
      <c r="O194">
        <v>1</v>
      </c>
      <c r="P194">
        <v>7.8548212351029247E-3</v>
      </c>
      <c r="Q194">
        <v>1</v>
      </c>
      <c r="R194">
        <v>2023</v>
      </c>
      <c r="S194" s="1">
        <v>44927</v>
      </c>
    </row>
    <row r="195" spans="1:19" x14ac:dyDescent="0.3">
      <c r="A195" t="s">
        <v>36</v>
      </c>
      <c r="B195">
        <v>143</v>
      </c>
      <c r="C195" t="s">
        <v>20</v>
      </c>
      <c r="D195">
        <v>23</v>
      </c>
      <c r="E195" t="s">
        <v>22</v>
      </c>
      <c r="F195">
        <v>3289</v>
      </c>
      <c r="G195">
        <v>0</v>
      </c>
      <c r="H195">
        <v>0</v>
      </c>
      <c r="I195">
        <v>8</v>
      </c>
      <c r="J195">
        <v>0</v>
      </c>
      <c r="K195">
        <v>8</v>
      </c>
      <c r="L195">
        <v>2.432350258437215E-3</v>
      </c>
      <c r="M195">
        <v>0.99756764974156276</v>
      </c>
      <c r="N195">
        <v>0</v>
      </c>
      <c r="O195">
        <v>1</v>
      </c>
      <c r="P195">
        <v>2.432350258437215E-3</v>
      </c>
      <c r="Q195">
        <v>2</v>
      </c>
      <c r="R195">
        <v>2023</v>
      </c>
      <c r="S195" s="1">
        <v>44958</v>
      </c>
    </row>
    <row r="196" spans="1:19" x14ac:dyDescent="0.3">
      <c r="A196" t="s">
        <v>36</v>
      </c>
      <c r="B196">
        <v>144</v>
      </c>
      <c r="C196" t="s">
        <v>20</v>
      </c>
      <c r="D196">
        <v>26</v>
      </c>
      <c r="E196" t="s">
        <v>23</v>
      </c>
      <c r="F196">
        <v>3744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3</v>
      </c>
      <c r="R196">
        <v>2023</v>
      </c>
      <c r="S196" s="1">
        <v>44986</v>
      </c>
    </row>
    <row r="197" spans="1:19" x14ac:dyDescent="0.3">
      <c r="A197" t="s">
        <v>36</v>
      </c>
      <c r="B197">
        <v>143</v>
      </c>
      <c r="C197" t="s">
        <v>20</v>
      </c>
      <c r="D197">
        <v>24</v>
      </c>
      <c r="E197" t="s">
        <v>24</v>
      </c>
      <c r="F197">
        <v>3432</v>
      </c>
      <c r="G197">
        <v>0</v>
      </c>
      <c r="H197">
        <v>0</v>
      </c>
      <c r="I197">
        <v>28</v>
      </c>
      <c r="J197">
        <v>7</v>
      </c>
      <c r="K197">
        <v>35</v>
      </c>
      <c r="L197">
        <v>1.0198135198135198E-2</v>
      </c>
      <c r="M197">
        <v>0.98980186480186483</v>
      </c>
      <c r="N197">
        <v>0</v>
      </c>
      <c r="O197">
        <v>1</v>
      </c>
      <c r="P197">
        <v>1.0198135198135198E-2</v>
      </c>
      <c r="Q197">
        <v>4</v>
      </c>
      <c r="R197">
        <v>2023</v>
      </c>
      <c r="S197" s="1">
        <v>45017</v>
      </c>
    </row>
    <row r="198" spans="1:19" x14ac:dyDescent="0.3">
      <c r="A198" t="s">
        <v>36</v>
      </c>
      <c r="B198">
        <v>143</v>
      </c>
      <c r="C198" t="s">
        <v>20</v>
      </c>
      <c r="D198">
        <v>26</v>
      </c>
      <c r="E198" t="s">
        <v>25</v>
      </c>
      <c r="F198">
        <v>3718</v>
      </c>
      <c r="G198">
        <v>0</v>
      </c>
      <c r="H198">
        <v>0</v>
      </c>
      <c r="I198">
        <v>48</v>
      </c>
      <c r="J198">
        <v>0</v>
      </c>
      <c r="K198">
        <v>48</v>
      </c>
      <c r="L198">
        <v>1.2910166756320602E-2</v>
      </c>
      <c r="M198">
        <v>0.98708983324367938</v>
      </c>
      <c r="N198">
        <v>0</v>
      </c>
      <c r="O198">
        <v>1</v>
      </c>
      <c r="P198">
        <v>1.2910166756320602E-2</v>
      </c>
      <c r="Q198">
        <v>5</v>
      </c>
      <c r="R198">
        <v>2023</v>
      </c>
      <c r="S198" s="1">
        <v>45047</v>
      </c>
    </row>
    <row r="199" spans="1:19" x14ac:dyDescent="0.3">
      <c r="A199" t="s">
        <v>36</v>
      </c>
      <c r="B199">
        <v>110</v>
      </c>
      <c r="C199" t="s">
        <v>20</v>
      </c>
      <c r="D199">
        <v>5</v>
      </c>
      <c r="E199" t="s">
        <v>26</v>
      </c>
      <c r="F199">
        <v>550</v>
      </c>
      <c r="G199">
        <v>0</v>
      </c>
      <c r="H199">
        <v>0</v>
      </c>
      <c r="I199">
        <v>90</v>
      </c>
      <c r="J199">
        <v>0</v>
      </c>
      <c r="K199">
        <v>90</v>
      </c>
      <c r="L199">
        <v>0.16363636363636364</v>
      </c>
      <c r="M199">
        <v>0.83636363636363642</v>
      </c>
      <c r="N199">
        <v>0</v>
      </c>
      <c r="O199">
        <v>1</v>
      </c>
      <c r="P199">
        <v>0.16363636363636364</v>
      </c>
      <c r="Q199">
        <v>6</v>
      </c>
      <c r="R199">
        <v>2023</v>
      </c>
      <c r="S199" s="1">
        <v>45078</v>
      </c>
    </row>
    <row r="200" spans="1:19" x14ac:dyDescent="0.3">
      <c r="A200" t="s">
        <v>36</v>
      </c>
      <c r="B200">
        <v>113</v>
      </c>
      <c r="C200" t="s">
        <v>20</v>
      </c>
      <c r="D200">
        <v>21</v>
      </c>
      <c r="E200" t="s">
        <v>27</v>
      </c>
      <c r="F200">
        <v>2373</v>
      </c>
      <c r="G200">
        <v>0</v>
      </c>
      <c r="H200">
        <v>0</v>
      </c>
      <c r="I200">
        <v>51</v>
      </c>
      <c r="J200">
        <v>0</v>
      </c>
      <c r="K200">
        <v>51</v>
      </c>
      <c r="L200">
        <v>2.1491782553729456E-2</v>
      </c>
      <c r="M200">
        <v>0.97850821744627059</v>
      </c>
      <c r="N200">
        <v>0</v>
      </c>
      <c r="O200">
        <v>1</v>
      </c>
      <c r="P200">
        <v>2.1491782553729456E-2</v>
      </c>
      <c r="Q200">
        <v>7</v>
      </c>
      <c r="R200">
        <v>2023</v>
      </c>
      <c r="S200" s="1">
        <v>45108</v>
      </c>
    </row>
    <row r="201" spans="1:19" x14ac:dyDescent="0.3">
      <c r="A201" t="s">
        <v>36</v>
      </c>
      <c r="B201">
        <v>113</v>
      </c>
      <c r="C201" t="s">
        <v>20</v>
      </c>
      <c r="D201">
        <v>23</v>
      </c>
      <c r="E201" t="s">
        <v>28</v>
      </c>
      <c r="F201">
        <v>2599</v>
      </c>
      <c r="G201">
        <v>0</v>
      </c>
      <c r="H201">
        <v>0</v>
      </c>
      <c r="I201">
        <v>52</v>
      </c>
      <c r="J201">
        <v>0</v>
      </c>
      <c r="K201">
        <v>52</v>
      </c>
      <c r="L201">
        <v>2.0007695267410544E-2</v>
      </c>
      <c r="M201">
        <v>0.97999230473258947</v>
      </c>
      <c r="N201">
        <v>0</v>
      </c>
      <c r="O201">
        <v>1</v>
      </c>
      <c r="P201">
        <v>2.0007695267410544E-2</v>
      </c>
      <c r="Q201">
        <v>8</v>
      </c>
      <c r="R201">
        <v>2023</v>
      </c>
      <c r="S201" s="1">
        <v>45139</v>
      </c>
    </row>
    <row r="202" spans="1:19" x14ac:dyDescent="0.3">
      <c r="A202" t="s">
        <v>36</v>
      </c>
      <c r="B202">
        <v>113</v>
      </c>
      <c r="C202" t="s">
        <v>20</v>
      </c>
      <c r="D202">
        <v>20</v>
      </c>
      <c r="E202" t="s">
        <v>29</v>
      </c>
      <c r="F202">
        <v>2260</v>
      </c>
      <c r="G202">
        <v>0</v>
      </c>
      <c r="H202">
        <v>0</v>
      </c>
      <c r="I202">
        <v>30</v>
      </c>
      <c r="J202">
        <v>0</v>
      </c>
      <c r="K202">
        <v>30</v>
      </c>
      <c r="L202">
        <v>1.3274336283185841E-2</v>
      </c>
      <c r="M202">
        <v>0.98672566371681414</v>
      </c>
      <c r="N202">
        <v>0</v>
      </c>
      <c r="O202">
        <v>1</v>
      </c>
      <c r="P202">
        <v>1.3274336283185841E-2</v>
      </c>
      <c r="Q202">
        <v>9</v>
      </c>
      <c r="R202">
        <v>2023</v>
      </c>
      <c r="S202" s="1">
        <v>45170</v>
      </c>
    </row>
    <row r="203" spans="1:19" x14ac:dyDescent="0.3">
      <c r="A203" t="s">
        <v>36</v>
      </c>
      <c r="B203">
        <v>120</v>
      </c>
      <c r="C203" t="s">
        <v>20</v>
      </c>
      <c r="D203">
        <v>21</v>
      </c>
      <c r="E203" t="s">
        <v>30</v>
      </c>
      <c r="F203">
        <v>2520</v>
      </c>
      <c r="G203">
        <v>0</v>
      </c>
      <c r="H203">
        <v>0</v>
      </c>
      <c r="I203">
        <v>31</v>
      </c>
      <c r="J203">
        <v>0</v>
      </c>
      <c r="K203">
        <v>31</v>
      </c>
      <c r="L203">
        <v>1.2301587301587301E-2</v>
      </c>
      <c r="M203">
        <v>0.98769841269841274</v>
      </c>
      <c r="N203">
        <v>0</v>
      </c>
      <c r="O203">
        <v>1</v>
      </c>
      <c r="P203">
        <v>1.2301587301587301E-2</v>
      </c>
      <c r="Q203">
        <v>10</v>
      </c>
      <c r="R203">
        <v>2023</v>
      </c>
      <c r="S203" s="1">
        <v>45200</v>
      </c>
    </row>
    <row r="204" spans="1:19" x14ac:dyDescent="0.3">
      <c r="A204" t="s">
        <v>36</v>
      </c>
      <c r="B204">
        <v>126</v>
      </c>
      <c r="C204" t="s">
        <v>20</v>
      </c>
      <c r="D204">
        <v>21</v>
      </c>
      <c r="E204" t="s">
        <v>31</v>
      </c>
      <c r="F204">
        <v>2646</v>
      </c>
      <c r="G204">
        <v>0</v>
      </c>
      <c r="H204">
        <v>0</v>
      </c>
      <c r="I204">
        <v>23</v>
      </c>
      <c r="J204">
        <v>0</v>
      </c>
      <c r="K204">
        <v>23</v>
      </c>
      <c r="L204">
        <v>8.6923658352229781E-3</v>
      </c>
      <c r="M204">
        <v>0.99130763416477707</v>
      </c>
      <c r="N204">
        <v>0</v>
      </c>
      <c r="O204">
        <v>1</v>
      </c>
      <c r="P204">
        <v>8.6923658352229781E-3</v>
      </c>
      <c r="Q204">
        <v>11</v>
      </c>
      <c r="R204">
        <v>2023</v>
      </c>
      <c r="S204" s="1">
        <v>45231</v>
      </c>
    </row>
    <row r="205" spans="1:19" x14ac:dyDescent="0.3">
      <c r="A205" t="s">
        <v>36</v>
      </c>
      <c r="B205">
        <v>138</v>
      </c>
      <c r="C205" t="s">
        <v>20</v>
      </c>
      <c r="D205">
        <v>25</v>
      </c>
      <c r="E205" t="s">
        <v>32</v>
      </c>
      <c r="F205">
        <v>3450</v>
      </c>
      <c r="G205">
        <v>0</v>
      </c>
      <c r="H205">
        <v>0</v>
      </c>
      <c r="I205">
        <v>11</v>
      </c>
      <c r="J205">
        <v>0</v>
      </c>
      <c r="K205">
        <v>11</v>
      </c>
      <c r="L205">
        <v>3.1884057971014491E-3</v>
      </c>
      <c r="M205">
        <v>0.99681159420289855</v>
      </c>
      <c r="N205">
        <v>0</v>
      </c>
      <c r="O205">
        <v>1</v>
      </c>
      <c r="P205">
        <v>3.1884057971014491E-3</v>
      </c>
      <c r="Q205">
        <v>12</v>
      </c>
      <c r="R205">
        <v>2023</v>
      </c>
      <c r="S205" s="1">
        <v>45261</v>
      </c>
    </row>
    <row r="206" spans="1:19" x14ac:dyDescent="0.3">
      <c r="A206" t="s">
        <v>36</v>
      </c>
      <c r="B206">
        <v>156</v>
      </c>
      <c r="C206" t="s">
        <v>20</v>
      </c>
      <c r="D206">
        <v>25</v>
      </c>
      <c r="E206" t="s">
        <v>21</v>
      </c>
      <c r="F206">
        <v>3900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1</v>
      </c>
      <c r="R206">
        <v>2024</v>
      </c>
      <c r="S206" s="1">
        <v>45292</v>
      </c>
    </row>
    <row r="207" spans="1:19" x14ac:dyDescent="0.3">
      <c r="A207" t="s">
        <v>36</v>
      </c>
      <c r="B207">
        <v>156</v>
      </c>
      <c r="C207" t="s">
        <v>20</v>
      </c>
      <c r="D207">
        <v>24</v>
      </c>
      <c r="E207" t="s">
        <v>22</v>
      </c>
      <c r="F207">
        <v>3744</v>
      </c>
      <c r="G207">
        <v>0</v>
      </c>
      <c r="H207">
        <v>0</v>
      </c>
      <c r="I207">
        <v>9</v>
      </c>
      <c r="J207">
        <v>0</v>
      </c>
      <c r="K207">
        <v>9</v>
      </c>
      <c r="L207">
        <v>2.403846153846154E-3</v>
      </c>
      <c r="M207">
        <v>0.99759615384615385</v>
      </c>
      <c r="N207">
        <v>0</v>
      </c>
      <c r="O207">
        <v>1</v>
      </c>
      <c r="P207">
        <v>2.403846153846154E-3</v>
      </c>
      <c r="Q207">
        <v>2</v>
      </c>
      <c r="R207">
        <v>2024</v>
      </c>
      <c r="S207" s="1">
        <v>45323</v>
      </c>
    </row>
    <row r="208" spans="1:19" x14ac:dyDescent="0.3">
      <c r="A208" t="s">
        <v>36</v>
      </c>
      <c r="B208">
        <v>162</v>
      </c>
      <c r="C208" t="s">
        <v>20</v>
      </c>
      <c r="D208">
        <v>24</v>
      </c>
      <c r="E208" t="s">
        <v>23</v>
      </c>
      <c r="F208">
        <v>3888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1</v>
      </c>
      <c r="P208">
        <v>0</v>
      </c>
      <c r="Q208">
        <v>3</v>
      </c>
      <c r="R208">
        <v>2024</v>
      </c>
      <c r="S208" s="1">
        <v>45352</v>
      </c>
    </row>
    <row r="209" spans="1:19" x14ac:dyDescent="0.3">
      <c r="A209" t="s">
        <v>36</v>
      </c>
      <c r="B209">
        <v>165</v>
      </c>
      <c r="C209" t="s">
        <v>20</v>
      </c>
      <c r="D209">
        <v>26</v>
      </c>
      <c r="E209" t="s">
        <v>24</v>
      </c>
      <c r="F209">
        <v>4290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4</v>
      </c>
      <c r="R209">
        <v>2024</v>
      </c>
      <c r="S209" s="1">
        <v>45383</v>
      </c>
    </row>
    <row r="210" spans="1:19" x14ac:dyDescent="0.3">
      <c r="A210" t="s">
        <v>36</v>
      </c>
      <c r="B210">
        <v>168</v>
      </c>
      <c r="C210" t="s">
        <v>20</v>
      </c>
      <c r="D210">
        <v>26</v>
      </c>
      <c r="E210" t="s">
        <v>25</v>
      </c>
      <c r="F210">
        <v>4368</v>
      </c>
      <c r="G210">
        <v>0</v>
      </c>
      <c r="H210">
        <v>0</v>
      </c>
      <c r="I210">
        <v>5</v>
      </c>
      <c r="J210">
        <v>0</v>
      </c>
      <c r="K210">
        <v>5</v>
      </c>
      <c r="L210">
        <v>1.1446886446886447E-3</v>
      </c>
      <c r="M210">
        <v>0.99885531135531136</v>
      </c>
      <c r="N210">
        <v>0</v>
      </c>
      <c r="O210">
        <v>1</v>
      </c>
      <c r="P210">
        <v>1.1446886446886447E-3</v>
      </c>
      <c r="Q210">
        <v>5</v>
      </c>
      <c r="R210">
        <v>2024</v>
      </c>
      <c r="S210" s="1">
        <v>45413</v>
      </c>
    </row>
    <row r="211" spans="1:19" x14ac:dyDescent="0.3">
      <c r="A211" t="s">
        <v>36</v>
      </c>
      <c r="B211">
        <v>140</v>
      </c>
      <c r="C211" t="s">
        <v>20</v>
      </c>
      <c r="D211">
        <v>4</v>
      </c>
      <c r="E211" t="s">
        <v>26</v>
      </c>
      <c r="F211">
        <v>560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1</v>
      </c>
      <c r="P211">
        <v>0</v>
      </c>
      <c r="Q211">
        <v>6</v>
      </c>
      <c r="R211">
        <v>2024</v>
      </c>
      <c r="S211" s="1">
        <v>45444</v>
      </c>
    </row>
    <row r="212" spans="1:19" x14ac:dyDescent="0.3">
      <c r="A212" t="s">
        <v>36</v>
      </c>
      <c r="B212">
        <v>143</v>
      </c>
      <c r="C212" t="s">
        <v>20</v>
      </c>
      <c r="D212">
        <v>22</v>
      </c>
      <c r="E212" t="s">
        <v>27</v>
      </c>
      <c r="F212">
        <v>3146</v>
      </c>
      <c r="G212">
        <v>0</v>
      </c>
      <c r="H212">
        <v>0</v>
      </c>
      <c r="I212">
        <v>24</v>
      </c>
      <c r="J212">
        <v>62</v>
      </c>
      <c r="K212">
        <v>86</v>
      </c>
      <c r="L212">
        <v>2.733630006357279E-2</v>
      </c>
      <c r="M212">
        <v>0.97266369993642721</v>
      </c>
      <c r="N212">
        <v>0</v>
      </c>
      <c r="O212">
        <v>1</v>
      </c>
      <c r="P212">
        <v>2.733630006357279E-2</v>
      </c>
      <c r="Q212">
        <v>7</v>
      </c>
      <c r="R212">
        <v>2024</v>
      </c>
      <c r="S212" s="1">
        <v>45474</v>
      </c>
    </row>
    <row r="213" spans="1:19" x14ac:dyDescent="0.3">
      <c r="A213" t="s">
        <v>36</v>
      </c>
      <c r="B213">
        <v>139</v>
      </c>
      <c r="C213" t="s">
        <v>20</v>
      </c>
      <c r="D213">
        <v>22</v>
      </c>
      <c r="E213" t="s">
        <v>28</v>
      </c>
      <c r="F213">
        <v>3058</v>
      </c>
      <c r="G213">
        <v>0</v>
      </c>
      <c r="H213">
        <v>0</v>
      </c>
      <c r="I213">
        <v>4</v>
      </c>
      <c r="J213">
        <v>62</v>
      </c>
      <c r="K213">
        <v>66</v>
      </c>
      <c r="L213">
        <v>2.1582733812949641E-2</v>
      </c>
      <c r="M213">
        <v>0.97841726618705038</v>
      </c>
      <c r="N213">
        <v>0</v>
      </c>
      <c r="O213">
        <v>1</v>
      </c>
      <c r="P213">
        <v>2.1582733812949641E-2</v>
      </c>
      <c r="Q213">
        <v>8</v>
      </c>
      <c r="R213">
        <v>2024</v>
      </c>
      <c r="S213" s="1">
        <v>45505</v>
      </c>
    </row>
    <row r="214" spans="1:19" x14ac:dyDescent="0.3">
      <c r="A214" t="s">
        <v>36</v>
      </c>
      <c r="B214">
        <v>137</v>
      </c>
      <c r="C214" t="s">
        <v>20</v>
      </c>
      <c r="D214">
        <v>19</v>
      </c>
      <c r="E214" t="s">
        <v>29</v>
      </c>
      <c r="F214">
        <v>2603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1</v>
      </c>
      <c r="P214">
        <v>0</v>
      </c>
      <c r="Q214">
        <v>9</v>
      </c>
      <c r="R214">
        <v>2024</v>
      </c>
      <c r="S214" s="1">
        <v>45536</v>
      </c>
    </row>
    <row r="215" spans="1:19" x14ac:dyDescent="0.3">
      <c r="A215" t="s">
        <v>36</v>
      </c>
      <c r="B215">
        <v>145</v>
      </c>
      <c r="C215" t="s">
        <v>20</v>
      </c>
      <c r="D215">
        <v>23</v>
      </c>
      <c r="E215" t="s">
        <v>30</v>
      </c>
      <c r="F215">
        <v>3335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1</v>
      </c>
      <c r="P215">
        <v>0</v>
      </c>
      <c r="Q215">
        <v>10</v>
      </c>
      <c r="R215">
        <v>2024</v>
      </c>
      <c r="S215" s="1">
        <v>45566</v>
      </c>
    </row>
    <row r="216" spans="1:19" x14ac:dyDescent="0.3">
      <c r="A216" t="s">
        <v>36</v>
      </c>
      <c r="B216">
        <v>159</v>
      </c>
      <c r="C216" t="s">
        <v>20</v>
      </c>
      <c r="D216">
        <v>20</v>
      </c>
      <c r="E216" t="s">
        <v>31</v>
      </c>
      <c r="F216">
        <v>3180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1</v>
      </c>
      <c r="P216">
        <v>0</v>
      </c>
      <c r="Q216">
        <v>11</v>
      </c>
      <c r="R216">
        <v>2024</v>
      </c>
      <c r="S216" s="1">
        <v>45597</v>
      </c>
    </row>
    <row r="217" spans="1:19" x14ac:dyDescent="0.3">
      <c r="A217" t="s">
        <v>36</v>
      </c>
      <c r="B217">
        <v>152</v>
      </c>
      <c r="C217" t="s">
        <v>20</v>
      </c>
      <c r="D217">
        <v>25</v>
      </c>
      <c r="E217" t="s">
        <v>32</v>
      </c>
      <c r="F217">
        <v>3800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1</v>
      </c>
      <c r="P217">
        <v>0</v>
      </c>
      <c r="Q217">
        <v>12</v>
      </c>
      <c r="R217">
        <v>2024</v>
      </c>
      <c r="S217" s="1">
        <v>45627</v>
      </c>
    </row>
    <row r="218" spans="1:19" x14ac:dyDescent="0.3">
      <c r="A218" t="s">
        <v>36</v>
      </c>
      <c r="B218">
        <v>152</v>
      </c>
      <c r="C218" t="s">
        <v>20</v>
      </c>
      <c r="D218">
        <v>25</v>
      </c>
      <c r="E218" t="s">
        <v>21</v>
      </c>
      <c r="F218">
        <v>3800</v>
      </c>
      <c r="G218">
        <v>0</v>
      </c>
      <c r="H218">
        <v>0</v>
      </c>
      <c r="I218">
        <v>19</v>
      </c>
      <c r="J218">
        <v>0</v>
      </c>
      <c r="K218">
        <v>19</v>
      </c>
      <c r="L218">
        <v>5.0000000000000001E-3</v>
      </c>
      <c r="M218">
        <v>0.995</v>
      </c>
      <c r="N218">
        <v>7.5700000000000003E-2</v>
      </c>
      <c r="O218">
        <v>0.92430000000000001</v>
      </c>
      <c r="P218">
        <v>-7.0699999999999999E-2</v>
      </c>
      <c r="Q218">
        <v>1</v>
      </c>
      <c r="R218">
        <v>2025</v>
      </c>
      <c r="S218" s="1">
        <v>45658</v>
      </c>
    </row>
    <row r="219" spans="1:19" x14ac:dyDescent="0.3">
      <c r="A219" t="s">
        <v>36</v>
      </c>
      <c r="B219">
        <v>152</v>
      </c>
      <c r="C219" t="s">
        <v>20</v>
      </c>
      <c r="D219">
        <v>24</v>
      </c>
      <c r="E219" t="s">
        <v>22</v>
      </c>
      <c r="F219">
        <v>3648</v>
      </c>
      <c r="G219">
        <v>0</v>
      </c>
      <c r="H219">
        <v>0</v>
      </c>
      <c r="I219">
        <v>49</v>
      </c>
      <c r="J219">
        <v>0</v>
      </c>
      <c r="K219">
        <v>49</v>
      </c>
      <c r="L219">
        <v>1.3432017543859649E-2</v>
      </c>
      <c r="M219">
        <v>0.9865679824561403</v>
      </c>
      <c r="N219">
        <v>7.7200000000000005E-2</v>
      </c>
      <c r="O219">
        <v>0.92279999999999995</v>
      </c>
      <c r="P219">
        <v>-6.3767982456140349E-2</v>
      </c>
      <c r="Q219">
        <v>2</v>
      </c>
      <c r="R219">
        <v>2025</v>
      </c>
      <c r="S219" s="1">
        <v>45689</v>
      </c>
    </row>
    <row r="220" spans="1:19" x14ac:dyDescent="0.3">
      <c r="A220" t="s">
        <v>36</v>
      </c>
      <c r="B220">
        <v>152</v>
      </c>
      <c r="C220" t="s">
        <v>20</v>
      </c>
      <c r="D220">
        <v>23</v>
      </c>
      <c r="E220" t="s">
        <v>23</v>
      </c>
      <c r="F220">
        <v>3496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8.3099999999999993E-2</v>
      </c>
      <c r="O220">
        <v>0.91690000000000005</v>
      </c>
      <c r="P220">
        <v>-8.3099999999999993E-2</v>
      </c>
      <c r="Q220">
        <v>3</v>
      </c>
      <c r="R220">
        <v>2025</v>
      </c>
      <c r="S220" s="1">
        <v>45717</v>
      </c>
    </row>
    <row r="221" spans="1:19" x14ac:dyDescent="0.3">
      <c r="A221" t="s">
        <v>36</v>
      </c>
      <c r="B221">
        <v>151</v>
      </c>
      <c r="C221" t="s">
        <v>20</v>
      </c>
      <c r="D221">
        <v>25</v>
      </c>
      <c r="E221" t="s">
        <v>24</v>
      </c>
      <c r="F221">
        <v>3775</v>
      </c>
      <c r="G221">
        <v>0</v>
      </c>
      <c r="H221">
        <v>0</v>
      </c>
      <c r="I221">
        <v>62</v>
      </c>
      <c r="J221">
        <v>0</v>
      </c>
      <c r="K221">
        <v>62</v>
      </c>
      <c r="L221">
        <v>1.6423841059602651E-2</v>
      </c>
      <c r="M221">
        <v>0.98357615894039729</v>
      </c>
      <c r="N221">
        <v>9.5899999999999999E-2</v>
      </c>
      <c r="O221">
        <v>0.90410000000000001</v>
      </c>
      <c r="P221">
        <v>-7.9476158940397348E-2</v>
      </c>
      <c r="Q221">
        <v>4</v>
      </c>
      <c r="R221">
        <v>2025</v>
      </c>
      <c r="S221" s="1">
        <v>45748</v>
      </c>
    </row>
    <row r="222" spans="1:19" x14ac:dyDescent="0.3">
      <c r="A222" t="s">
        <v>36</v>
      </c>
      <c r="B222">
        <v>154</v>
      </c>
      <c r="C222" t="s">
        <v>20</v>
      </c>
      <c r="D222">
        <v>26</v>
      </c>
      <c r="E222" t="s">
        <v>25</v>
      </c>
      <c r="F222">
        <v>4004</v>
      </c>
      <c r="G222">
        <v>0</v>
      </c>
      <c r="H222">
        <v>0</v>
      </c>
      <c r="I222">
        <v>47</v>
      </c>
      <c r="J222">
        <v>0</v>
      </c>
      <c r="K222">
        <v>47</v>
      </c>
      <c r="L222">
        <v>1.1738261738261738E-2</v>
      </c>
      <c r="M222">
        <v>0.98826173826173824</v>
      </c>
      <c r="N222">
        <v>0.1386</v>
      </c>
      <c r="O222">
        <v>0.86139999999999994</v>
      </c>
      <c r="P222">
        <v>-0.12686173826173827</v>
      </c>
      <c r="Q222">
        <v>5</v>
      </c>
      <c r="R222">
        <v>2025</v>
      </c>
      <c r="S222" s="1">
        <v>45778</v>
      </c>
    </row>
    <row r="223" spans="1:19" x14ac:dyDescent="0.3">
      <c r="A223" t="s">
        <v>36</v>
      </c>
      <c r="B223">
        <v>157</v>
      </c>
      <c r="C223" t="s">
        <v>20</v>
      </c>
      <c r="D223">
        <v>16</v>
      </c>
      <c r="E223" t="s">
        <v>26</v>
      </c>
      <c r="F223">
        <v>2512</v>
      </c>
      <c r="G223">
        <v>0</v>
      </c>
      <c r="H223">
        <v>0</v>
      </c>
      <c r="I223">
        <v>56</v>
      </c>
      <c r="J223">
        <v>0</v>
      </c>
      <c r="K223">
        <v>56</v>
      </c>
      <c r="L223">
        <v>2.2292993630573247E-2</v>
      </c>
      <c r="M223">
        <v>0.97770700636942676</v>
      </c>
      <c r="N223">
        <v>0.1598</v>
      </c>
      <c r="O223">
        <v>0.84020000000000006</v>
      </c>
      <c r="P223">
        <v>-0.13750700636942675</v>
      </c>
      <c r="Q223">
        <v>6</v>
      </c>
      <c r="R223">
        <v>2025</v>
      </c>
      <c r="S223" s="1">
        <v>45809</v>
      </c>
    </row>
    <row r="224" spans="1:19" x14ac:dyDescent="0.3">
      <c r="A224" t="s">
        <v>36</v>
      </c>
      <c r="B224">
        <v>135</v>
      </c>
      <c r="C224" t="s">
        <v>20</v>
      </c>
      <c r="D224">
        <v>12</v>
      </c>
      <c r="E224" t="s">
        <v>27</v>
      </c>
      <c r="F224">
        <v>1620</v>
      </c>
      <c r="G224">
        <v>0</v>
      </c>
      <c r="H224">
        <v>0</v>
      </c>
      <c r="I224">
        <v>70</v>
      </c>
      <c r="J224">
        <v>0</v>
      </c>
      <c r="K224">
        <v>70</v>
      </c>
      <c r="L224">
        <v>4.3209876543209874E-2</v>
      </c>
      <c r="M224">
        <v>0.95679012345679015</v>
      </c>
      <c r="N224">
        <v>9.7299999999999998E-2</v>
      </c>
      <c r="O224">
        <v>0.90270000000000006</v>
      </c>
      <c r="P224">
        <v>-5.4090123456790123E-2</v>
      </c>
      <c r="Q224">
        <v>7</v>
      </c>
      <c r="R224">
        <v>2025</v>
      </c>
      <c r="S224" s="1">
        <v>45839</v>
      </c>
    </row>
    <row r="225" spans="1:19" x14ac:dyDescent="0.3">
      <c r="A225" t="s">
        <v>36</v>
      </c>
      <c r="B225">
        <v>135</v>
      </c>
      <c r="C225" t="s">
        <v>20</v>
      </c>
      <c r="D225">
        <v>21</v>
      </c>
      <c r="E225" t="s">
        <v>28</v>
      </c>
      <c r="F225">
        <v>2835</v>
      </c>
      <c r="G225">
        <v>0</v>
      </c>
      <c r="H225">
        <v>0</v>
      </c>
      <c r="I225">
        <v>28</v>
      </c>
      <c r="J225">
        <v>28</v>
      </c>
      <c r="K225">
        <v>56</v>
      </c>
      <c r="L225">
        <v>1.9753086419753086E-2</v>
      </c>
      <c r="M225">
        <v>0.98024691358024696</v>
      </c>
      <c r="N225">
        <v>0.11020000000000001</v>
      </c>
      <c r="O225">
        <v>0.88980000000000004</v>
      </c>
      <c r="P225">
        <v>-9.0446913580246924E-2</v>
      </c>
      <c r="Q225">
        <v>8</v>
      </c>
      <c r="R225">
        <v>2025</v>
      </c>
      <c r="S225" s="1">
        <v>45870</v>
      </c>
    </row>
    <row r="226" spans="1:19" x14ac:dyDescent="0.3">
      <c r="A226" t="s">
        <v>36</v>
      </c>
      <c r="B226">
        <v>134</v>
      </c>
      <c r="C226" t="s">
        <v>20</v>
      </c>
      <c r="D226">
        <v>20</v>
      </c>
      <c r="E226" t="s">
        <v>29</v>
      </c>
      <c r="F226">
        <v>2680</v>
      </c>
      <c r="G226">
        <v>0</v>
      </c>
      <c r="H226">
        <v>0</v>
      </c>
      <c r="I226">
        <v>35</v>
      </c>
      <c r="J226">
        <v>0</v>
      </c>
      <c r="K226">
        <v>35</v>
      </c>
      <c r="L226">
        <v>1.3059701492537313E-2</v>
      </c>
      <c r="M226">
        <v>0.98694029850746268</v>
      </c>
      <c r="N226">
        <v>0.1157</v>
      </c>
      <c r="O226">
        <v>0.88429999999999997</v>
      </c>
      <c r="P226">
        <v>-0.10264029850746269</v>
      </c>
      <c r="Q226">
        <v>9</v>
      </c>
      <c r="R226">
        <v>2025</v>
      </c>
      <c r="S226" s="1">
        <v>45901</v>
      </c>
    </row>
    <row r="227" spans="1:19" x14ac:dyDescent="0.3">
      <c r="A227" t="s">
        <v>36</v>
      </c>
      <c r="B227">
        <v>138</v>
      </c>
      <c r="C227" t="s">
        <v>20</v>
      </c>
      <c r="D227">
        <v>23</v>
      </c>
      <c r="E227" t="s">
        <v>30</v>
      </c>
      <c r="F227">
        <v>3174</v>
      </c>
      <c r="G227">
        <v>0</v>
      </c>
      <c r="H227">
        <v>0</v>
      </c>
      <c r="I227">
        <v>35</v>
      </c>
      <c r="J227">
        <v>0</v>
      </c>
      <c r="K227">
        <v>35</v>
      </c>
      <c r="L227">
        <v>1.1027095148078135E-2</v>
      </c>
      <c r="M227">
        <v>0.98897290485192191</v>
      </c>
      <c r="N227">
        <v>0.1143</v>
      </c>
      <c r="O227">
        <v>0.88570000000000004</v>
      </c>
      <c r="P227">
        <v>-0.10327290485192187</v>
      </c>
      <c r="Q227">
        <v>10</v>
      </c>
      <c r="R227">
        <v>2025</v>
      </c>
      <c r="S227" s="1">
        <v>45931</v>
      </c>
    </row>
    <row r="228" spans="1:19" x14ac:dyDescent="0.3">
      <c r="A228" t="s">
        <v>36</v>
      </c>
      <c r="B228">
        <v>484</v>
      </c>
      <c r="C228" t="s">
        <v>34</v>
      </c>
      <c r="D228">
        <v>26</v>
      </c>
      <c r="E228" t="s">
        <v>21</v>
      </c>
      <c r="F228">
        <v>12584</v>
      </c>
      <c r="G228">
        <v>1729</v>
      </c>
      <c r="H228">
        <v>0</v>
      </c>
      <c r="I228">
        <v>82</v>
      </c>
      <c r="J228">
        <v>114</v>
      </c>
      <c r="K228">
        <v>1925</v>
      </c>
      <c r="L228">
        <v>0.15297202797202797</v>
      </c>
      <c r="M228">
        <v>0.84702797202797209</v>
      </c>
      <c r="N228">
        <v>0</v>
      </c>
      <c r="O228">
        <v>1</v>
      </c>
      <c r="P228">
        <v>0.15297202797202797</v>
      </c>
      <c r="Q228">
        <v>1</v>
      </c>
      <c r="R228">
        <v>2023</v>
      </c>
      <c r="S228" s="1">
        <v>44927</v>
      </c>
    </row>
    <row r="229" spans="1:19" x14ac:dyDescent="0.3">
      <c r="A229" t="s">
        <v>36</v>
      </c>
      <c r="B229">
        <v>484</v>
      </c>
      <c r="C229" t="s">
        <v>34</v>
      </c>
      <c r="D229">
        <v>23</v>
      </c>
      <c r="E229" t="s">
        <v>22</v>
      </c>
      <c r="F229">
        <v>11132</v>
      </c>
      <c r="G229">
        <v>1418</v>
      </c>
      <c r="H229">
        <v>0</v>
      </c>
      <c r="I229">
        <v>127</v>
      </c>
      <c r="J229">
        <v>66</v>
      </c>
      <c r="K229">
        <v>1611</v>
      </c>
      <c r="L229">
        <v>0.14471793029105282</v>
      </c>
      <c r="M229">
        <v>0.85528206970894716</v>
      </c>
      <c r="N229">
        <v>0</v>
      </c>
      <c r="O229">
        <v>1</v>
      </c>
      <c r="P229">
        <v>0.14471793029105282</v>
      </c>
      <c r="Q229">
        <v>2</v>
      </c>
      <c r="R229">
        <v>2023</v>
      </c>
      <c r="S229" s="1">
        <v>44958</v>
      </c>
    </row>
    <row r="230" spans="1:19" x14ac:dyDescent="0.3">
      <c r="A230" t="s">
        <v>36</v>
      </c>
      <c r="B230">
        <v>484</v>
      </c>
      <c r="C230" t="s">
        <v>34</v>
      </c>
      <c r="D230">
        <v>26</v>
      </c>
      <c r="E230" t="s">
        <v>23</v>
      </c>
      <c r="F230">
        <v>12584</v>
      </c>
      <c r="G230">
        <v>1530</v>
      </c>
      <c r="H230">
        <v>0</v>
      </c>
      <c r="I230">
        <v>113</v>
      </c>
      <c r="J230">
        <v>95</v>
      </c>
      <c r="K230">
        <v>1738</v>
      </c>
      <c r="L230">
        <v>0.1381118881118881</v>
      </c>
      <c r="M230">
        <v>0.86188811188811187</v>
      </c>
      <c r="N230">
        <v>0</v>
      </c>
      <c r="O230">
        <v>1</v>
      </c>
      <c r="P230">
        <v>0.1381118881118881</v>
      </c>
      <c r="Q230">
        <v>3</v>
      </c>
      <c r="R230">
        <v>2023</v>
      </c>
      <c r="S230" s="1">
        <v>44986</v>
      </c>
    </row>
    <row r="231" spans="1:19" x14ac:dyDescent="0.3">
      <c r="A231" t="s">
        <v>36</v>
      </c>
      <c r="B231">
        <v>484</v>
      </c>
      <c r="C231" t="s">
        <v>34</v>
      </c>
      <c r="D231">
        <v>24</v>
      </c>
      <c r="E231" t="s">
        <v>24</v>
      </c>
      <c r="F231">
        <v>11616</v>
      </c>
      <c r="G231">
        <v>1783</v>
      </c>
      <c r="H231">
        <v>0</v>
      </c>
      <c r="I231">
        <v>30</v>
      </c>
      <c r="J231">
        <v>1</v>
      </c>
      <c r="K231">
        <v>1814</v>
      </c>
      <c r="L231">
        <v>0.15616391184573003</v>
      </c>
      <c r="M231">
        <v>0.84383608815426991</v>
      </c>
      <c r="N231">
        <v>0</v>
      </c>
      <c r="O231">
        <v>1</v>
      </c>
      <c r="P231">
        <v>0.15616391184573003</v>
      </c>
      <c r="Q231">
        <v>4</v>
      </c>
      <c r="R231">
        <v>2023</v>
      </c>
      <c r="S231" s="1">
        <v>45017</v>
      </c>
    </row>
    <row r="232" spans="1:19" x14ac:dyDescent="0.3">
      <c r="A232" t="s">
        <v>36</v>
      </c>
      <c r="B232">
        <v>484</v>
      </c>
      <c r="C232" t="s">
        <v>34</v>
      </c>
      <c r="D232">
        <v>26</v>
      </c>
      <c r="E232" t="s">
        <v>25</v>
      </c>
      <c r="F232">
        <v>12584</v>
      </c>
      <c r="G232">
        <v>2452</v>
      </c>
      <c r="H232">
        <v>0</v>
      </c>
      <c r="I232">
        <v>121</v>
      </c>
      <c r="J232">
        <v>64</v>
      </c>
      <c r="K232">
        <v>2637</v>
      </c>
      <c r="L232">
        <v>0.20955181182453911</v>
      </c>
      <c r="M232">
        <v>0.79044818817546092</v>
      </c>
      <c r="N232">
        <v>0</v>
      </c>
      <c r="O232">
        <v>1</v>
      </c>
      <c r="P232">
        <v>0.20955181182453911</v>
      </c>
      <c r="Q232">
        <v>5</v>
      </c>
      <c r="R232">
        <v>2023</v>
      </c>
      <c r="S232" s="1">
        <v>45047</v>
      </c>
    </row>
    <row r="233" spans="1:19" x14ac:dyDescent="0.3">
      <c r="A233" t="s">
        <v>36</v>
      </c>
      <c r="B233">
        <v>311</v>
      </c>
      <c r="C233" t="s">
        <v>34</v>
      </c>
      <c r="D233">
        <v>5</v>
      </c>
      <c r="E233" t="s">
        <v>26</v>
      </c>
      <c r="F233">
        <v>1555</v>
      </c>
      <c r="G233">
        <v>361</v>
      </c>
      <c r="H233">
        <v>0</v>
      </c>
      <c r="I233">
        <v>91</v>
      </c>
      <c r="J233">
        <v>30</v>
      </c>
      <c r="K233">
        <v>482</v>
      </c>
      <c r="L233">
        <v>0.30996784565916397</v>
      </c>
      <c r="M233">
        <v>0.69003215434083609</v>
      </c>
      <c r="N233">
        <v>0</v>
      </c>
      <c r="O233">
        <v>1</v>
      </c>
      <c r="P233">
        <v>0.30996784565916397</v>
      </c>
      <c r="Q233">
        <v>6</v>
      </c>
      <c r="R233">
        <v>2023</v>
      </c>
      <c r="S233" s="1">
        <v>45078</v>
      </c>
    </row>
    <row r="234" spans="1:19" x14ac:dyDescent="0.3">
      <c r="A234" t="s">
        <v>36</v>
      </c>
      <c r="B234">
        <v>311</v>
      </c>
      <c r="C234" t="s">
        <v>34</v>
      </c>
      <c r="D234">
        <v>21</v>
      </c>
      <c r="E234" t="s">
        <v>27</v>
      </c>
      <c r="F234">
        <v>6531</v>
      </c>
      <c r="G234">
        <v>1020</v>
      </c>
      <c r="H234">
        <v>0</v>
      </c>
      <c r="I234">
        <v>132</v>
      </c>
      <c r="J234">
        <v>20</v>
      </c>
      <c r="K234">
        <v>1172</v>
      </c>
      <c r="L234">
        <v>0.17945184504670036</v>
      </c>
      <c r="M234">
        <v>0.82054815495329958</v>
      </c>
      <c r="N234">
        <v>0</v>
      </c>
      <c r="O234">
        <v>1</v>
      </c>
      <c r="P234">
        <v>0.17945184504670036</v>
      </c>
      <c r="Q234">
        <v>7</v>
      </c>
      <c r="R234">
        <v>2023</v>
      </c>
      <c r="S234" s="1">
        <v>45108</v>
      </c>
    </row>
    <row r="235" spans="1:19" x14ac:dyDescent="0.3">
      <c r="A235" t="s">
        <v>36</v>
      </c>
      <c r="B235">
        <v>311</v>
      </c>
      <c r="C235" t="s">
        <v>34</v>
      </c>
      <c r="D235">
        <v>23</v>
      </c>
      <c r="E235" t="s">
        <v>28</v>
      </c>
      <c r="F235">
        <v>7153</v>
      </c>
      <c r="G235">
        <v>998</v>
      </c>
      <c r="H235">
        <v>0</v>
      </c>
      <c r="I235">
        <v>160</v>
      </c>
      <c r="J235">
        <v>29</v>
      </c>
      <c r="K235">
        <v>1187</v>
      </c>
      <c r="L235">
        <v>0.16594435901020552</v>
      </c>
      <c r="M235">
        <v>0.83405564098979446</v>
      </c>
      <c r="N235">
        <v>0</v>
      </c>
      <c r="O235">
        <v>1</v>
      </c>
      <c r="P235">
        <v>0.16594435901020552</v>
      </c>
      <c r="Q235">
        <v>8</v>
      </c>
      <c r="R235">
        <v>2023</v>
      </c>
      <c r="S235" s="1">
        <v>45139</v>
      </c>
    </row>
    <row r="236" spans="1:19" x14ac:dyDescent="0.3">
      <c r="A236" t="s">
        <v>36</v>
      </c>
      <c r="B236">
        <v>311</v>
      </c>
      <c r="C236" t="s">
        <v>34</v>
      </c>
      <c r="D236">
        <v>20</v>
      </c>
      <c r="E236" t="s">
        <v>29</v>
      </c>
      <c r="F236">
        <v>6220</v>
      </c>
      <c r="G236">
        <v>757</v>
      </c>
      <c r="H236">
        <v>0</v>
      </c>
      <c r="I236">
        <v>153</v>
      </c>
      <c r="J236">
        <v>5</v>
      </c>
      <c r="K236">
        <v>915</v>
      </c>
      <c r="L236">
        <v>0.14710610932475884</v>
      </c>
      <c r="M236">
        <v>0.85289389067524113</v>
      </c>
      <c r="N236">
        <v>0</v>
      </c>
      <c r="O236">
        <v>1</v>
      </c>
      <c r="P236">
        <v>0.14710610932475884</v>
      </c>
      <c r="Q236">
        <v>9</v>
      </c>
      <c r="R236">
        <v>2023</v>
      </c>
      <c r="S236" s="1">
        <v>45170</v>
      </c>
    </row>
    <row r="237" spans="1:19" x14ac:dyDescent="0.3">
      <c r="A237" t="s">
        <v>36</v>
      </c>
      <c r="B237">
        <v>311</v>
      </c>
      <c r="C237" t="s">
        <v>34</v>
      </c>
      <c r="D237">
        <v>21</v>
      </c>
      <c r="E237" t="s">
        <v>30</v>
      </c>
      <c r="F237">
        <v>6531</v>
      </c>
      <c r="G237">
        <v>950</v>
      </c>
      <c r="H237">
        <v>0</v>
      </c>
      <c r="I237">
        <v>187</v>
      </c>
      <c r="J237">
        <v>35</v>
      </c>
      <c r="K237">
        <v>1172</v>
      </c>
      <c r="L237">
        <v>0.17945184504670036</v>
      </c>
      <c r="M237">
        <v>0.82054815495329958</v>
      </c>
      <c r="N237">
        <v>0</v>
      </c>
      <c r="O237">
        <v>1</v>
      </c>
      <c r="P237">
        <v>0.17945184504670036</v>
      </c>
      <c r="Q237">
        <v>10</v>
      </c>
      <c r="R237">
        <v>2023</v>
      </c>
      <c r="S237" s="1">
        <v>45200</v>
      </c>
    </row>
    <row r="238" spans="1:19" x14ac:dyDescent="0.3">
      <c r="A238" t="s">
        <v>36</v>
      </c>
      <c r="B238">
        <v>311</v>
      </c>
      <c r="C238" t="s">
        <v>34</v>
      </c>
      <c r="D238">
        <v>21</v>
      </c>
      <c r="E238" t="s">
        <v>31</v>
      </c>
      <c r="F238">
        <v>6531</v>
      </c>
      <c r="G238">
        <v>1037</v>
      </c>
      <c r="H238">
        <v>0</v>
      </c>
      <c r="I238">
        <v>157</v>
      </c>
      <c r="J238">
        <v>30</v>
      </c>
      <c r="K238">
        <v>1224</v>
      </c>
      <c r="L238">
        <v>0.18741387230133211</v>
      </c>
      <c r="M238">
        <v>0.81258612769866789</v>
      </c>
      <c r="N238">
        <v>0</v>
      </c>
      <c r="O238">
        <v>1</v>
      </c>
      <c r="P238">
        <v>0.18741387230133211</v>
      </c>
      <c r="Q238">
        <v>11</v>
      </c>
      <c r="R238">
        <v>2023</v>
      </c>
      <c r="S238" s="1">
        <v>45231</v>
      </c>
    </row>
    <row r="239" spans="1:19" x14ac:dyDescent="0.3">
      <c r="A239" t="s">
        <v>36</v>
      </c>
      <c r="B239">
        <v>484</v>
      </c>
      <c r="C239" t="s">
        <v>34</v>
      </c>
      <c r="D239">
        <v>25</v>
      </c>
      <c r="E239" t="s">
        <v>32</v>
      </c>
      <c r="F239">
        <v>12100</v>
      </c>
      <c r="G239">
        <v>1577</v>
      </c>
      <c r="H239">
        <v>0</v>
      </c>
      <c r="I239">
        <v>91</v>
      </c>
      <c r="J239">
        <v>25</v>
      </c>
      <c r="K239">
        <v>1693</v>
      </c>
      <c r="L239">
        <v>0.13991735537190084</v>
      </c>
      <c r="M239">
        <v>0.86008264462809914</v>
      </c>
      <c r="N239">
        <v>0</v>
      </c>
      <c r="O239">
        <v>1</v>
      </c>
      <c r="P239">
        <v>0.13991735537190084</v>
      </c>
      <c r="Q239">
        <v>12</v>
      </c>
      <c r="R239">
        <v>2023</v>
      </c>
      <c r="S239" s="1">
        <v>45261</v>
      </c>
    </row>
    <row r="240" spans="1:19" x14ac:dyDescent="0.3">
      <c r="A240" t="s">
        <v>36</v>
      </c>
      <c r="B240">
        <v>484</v>
      </c>
      <c r="C240" t="s">
        <v>34</v>
      </c>
      <c r="D240">
        <v>25</v>
      </c>
      <c r="E240" t="s">
        <v>21</v>
      </c>
      <c r="F240">
        <v>12100</v>
      </c>
      <c r="G240">
        <v>995</v>
      </c>
      <c r="H240">
        <v>0</v>
      </c>
      <c r="I240">
        <v>98</v>
      </c>
      <c r="J240">
        <v>0</v>
      </c>
      <c r="K240">
        <v>1093</v>
      </c>
      <c r="L240">
        <v>9.0330578512396689E-2</v>
      </c>
      <c r="M240">
        <v>0.90966942148760332</v>
      </c>
      <c r="N240">
        <v>0</v>
      </c>
      <c r="O240">
        <v>1</v>
      </c>
      <c r="P240">
        <v>9.0330578512396689E-2</v>
      </c>
      <c r="Q240">
        <v>1</v>
      </c>
      <c r="R240">
        <v>2024</v>
      </c>
      <c r="S240" s="1">
        <v>45292</v>
      </c>
    </row>
    <row r="241" spans="1:19" x14ac:dyDescent="0.3">
      <c r="A241" t="s">
        <v>36</v>
      </c>
      <c r="B241">
        <v>484</v>
      </c>
      <c r="C241" t="s">
        <v>34</v>
      </c>
      <c r="D241">
        <v>24</v>
      </c>
      <c r="E241" t="s">
        <v>22</v>
      </c>
      <c r="F241">
        <v>11616</v>
      </c>
      <c r="G241">
        <v>912</v>
      </c>
      <c r="H241">
        <v>0</v>
      </c>
      <c r="I241">
        <v>121</v>
      </c>
      <c r="J241">
        <v>36</v>
      </c>
      <c r="K241">
        <v>1069</v>
      </c>
      <c r="L241">
        <v>9.2028236914600547E-2</v>
      </c>
      <c r="M241">
        <v>0.9079717630853994</v>
      </c>
      <c r="N241">
        <v>0</v>
      </c>
      <c r="O241">
        <v>1</v>
      </c>
      <c r="P241">
        <v>9.2028236914600547E-2</v>
      </c>
      <c r="Q241">
        <v>2</v>
      </c>
      <c r="R241">
        <v>2024</v>
      </c>
      <c r="S241" s="1">
        <v>45323</v>
      </c>
    </row>
    <row r="242" spans="1:19" x14ac:dyDescent="0.3">
      <c r="A242" t="s">
        <v>36</v>
      </c>
      <c r="B242">
        <v>484</v>
      </c>
      <c r="C242" t="s">
        <v>34</v>
      </c>
      <c r="D242">
        <v>24</v>
      </c>
      <c r="E242" t="s">
        <v>23</v>
      </c>
      <c r="F242">
        <v>11616</v>
      </c>
      <c r="G242">
        <v>1017</v>
      </c>
      <c r="H242">
        <v>0</v>
      </c>
      <c r="I242">
        <v>93</v>
      </c>
      <c r="J242">
        <v>41</v>
      </c>
      <c r="K242">
        <v>1151</v>
      </c>
      <c r="L242">
        <v>9.9087465564738297E-2</v>
      </c>
      <c r="M242">
        <v>0.90091253443526176</v>
      </c>
      <c r="N242">
        <v>0</v>
      </c>
      <c r="O242">
        <v>1</v>
      </c>
      <c r="P242">
        <v>9.9087465564738297E-2</v>
      </c>
      <c r="Q242">
        <v>3</v>
      </c>
      <c r="R242">
        <v>2024</v>
      </c>
      <c r="S242" s="1">
        <v>45352</v>
      </c>
    </row>
    <row r="243" spans="1:19" x14ac:dyDescent="0.3">
      <c r="A243" t="s">
        <v>36</v>
      </c>
      <c r="B243">
        <v>484</v>
      </c>
      <c r="C243" t="s">
        <v>34</v>
      </c>
      <c r="D243">
        <v>26</v>
      </c>
      <c r="E243" t="s">
        <v>24</v>
      </c>
      <c r="F243">
        <v>12584</v>
      </c>
      <c r="G243">
        <v>1342</v>
      </c>
      <c r="H243">
        <v>0</v>
      </c>
      <c r="I243">
        <v>70</v>
      </c>
      <c r="J243">
        <v>27</v>
      </c>
      <c r="K243">
        <v>1439</v>
      </c>
      <c r="L243">
        <v>0.11435155753337571</v>
      </c>
      <c r="M243">
        <v>0.88564844246662433</v>
      </c>
      <c r="N243">
        <v>0</v>
      </c>
      <c r="O243">
        <v>1</v>
      </c>
      <c r="P243">
        <v>0.11435155753337571</v>
      </c>
      <c r="Q243">
        <v>4</v>
      </c>
      <c r="R243">
        <v>2024</v>
      </c>
      <c r="S243" s="1">
        <v>45383</v>
      </c>
    </row>
    <row r="244" spans="1:19" x14ac:dyDescent="0.3">
      <c r="A244" t="s">
        <v>36</v>
      </c>
      <c r="B244">
        <v>484</v>
      </c>
      <c r="C244" t="s">
        <v>34</v>
      </c>
      <c r="D244">
        <v>26</v>
      </c>
      <c r="E244" t="s">
        <v>25</v>
      </c>
      <c r="F244">
        <v>12584</v>
      </c>
      <c r="G244">
        <v>1960</v>
      </c>
      <c r="H244">
        <v>0</v>
      </c>
      <c r="I244">
        <v>78</v>
      </c>
      <c r="J244">
        <v>42</v>
      </c>
      <c r="K244">
        <v>2080</v>
      </c>
      <c r="L244">
        <v>0.16528925619834711</v>
      </c>
      <c r="M244">
        <v>0.83471074380165289</v>
      </c>
      <c r="N244">
        <v>0</v>
      </c>
      <c r="O244">
        <v>1</v>
      </c>
      <c r="P244">
        <v>0.16528925619834711</v>
      </c>
      <c r="Q244">
        <v>5</v>
      </c>
      <c r="R244">
        <v>2024</v>
      </c>
      <c r="S244" s="1">
        <v>45413</v>
      </c>
    </row>
    <row r="245" spans="1:19" x14ac:dyDescent="0.3">
      <c r="A245" t="s">
        <v>36</v>
      </c>
      <c r="B245">
        <v>484</v>
      </c>
      <c r="C245" t="s">
        <v>34</v>
      </c>
      <c r="D245">
        <v>4</v>
      </c>
      <c r="E245" t="s">
        <v>26</v>
      </c>
      <c r="F245">
        <v>1936</v>
      </c>
      <c r="G245">
        <v>353</v>
      </c>
      <c r="H245">
        <v>0</v>
      </c>
      <c r="I245">
        <v>13</v>
      </c>
      <c r="J245">
        <v>3</v>
      </c>
      <c r="K245">
        <v>369</v>
      </c>
      <c r="L245">
        <v>0.190599173553719</v>
      </c>
      <c r="M245">
        <v>0.80940082644628097</v>
      </c>
      <c r="N245">
        <v>0</v>
      </c>
      <c r="O245">
        <v>1</v>
      </c>
      <c r="P245">
        <v>0.190599173553719</v>
      </c>
      <c r="Q245">
        <v>6</v>
      </c>
      <c r="R245">
        <v>2024</v>
      </c>
      <c r="S245" s="1">
        <v>45444</v>
      </c>
    </row>
    <row r="246" spans="1:19" x14ac:dyDescent="0.3">
      <c r="A246" t="s">
        <v>36</v>
      </c>
      <c r="B246">
        <v>311</v>
      </c>
      <c r="C246" t="s">
        <v>34</v>
      </c>
      <c r="D246">
        <v>22</v>
      </c>
      <c r="E246" t="s">
        <v>27</v>
      </c>
      <c r="F246">
        <v>6842</v>
      </c>
      <c r="G246">
        <v>695</v>
      </c>
      <c r="H246">
        <v>0</v>
      </c>
      <c r="I246">
        <v>93</v>
      </c>
      <c r="J246">
        <v>6</v>
      </c>
      <c r="K246">
        <v>794</v>
      </c>
      <c r="L246">
        <v>0.1160479391990646</v>
      </c>
      <c r="M246">
        <v>0.88395206080093536</v>
      </c>
      <c r="N246">
        <v>0</v>
      </c>
      <c r="O246">
        <v>1</v>
      </c>
      <c r="P246">
        <v>0.1160479391990646</v>
      </c>
      <c r="Q246">
        <v>7</v>
      </c>
      <c r="R246">
        <v>2024</v>
      </c>
      <c r="S246" s="1">
        <v>45474</v>
      </c>
    </row>
    <row r="247" spans="1:19" x14ac:dyDescent="0.3">
      <c r="A247" t="s">
        <v>36</v>
      </c>
      <c r="B247">
        <v>311</v>
      </c>
      <c r="C247" t="s">
        <v>34</v>
      </c>
      <c r="D247">
        <v>22</v>
      </c>
      <c r="E247" t="s">
        <v>28</v>
      </c>
      <c r="F247">
        <v>6842</v>
      </c>
      <c r="G247">
        <v>659</v>
      </c>
      <c r="H247">
        <v>0</v>
      </c>
      <c r="I247">
        <v>211</v>
      </c>
      <c r="J247">
        <v>29</v>
      </c>
      <c r="K247">
        <v>899</v>
      </c>
      <c r="L247">
        <v>0.13139432914352528</v>
      </c>
      <c r="M247">
        <v>0.86860567085647467</v>
      </c>
      <c r="N247">
        <v>0</v>
      </c>
      <c r="O247">
        <v>1</v>
      </c>
      <c r="P247">
        <v>0.13139432914352528</v>
      </c>
      <c r="Q247">
        <v>8</v>
      </c>
      <c r="R247">
        <v>2024</v>
      </c>
      <c r="S247" s="1">
        <v>45505</v>
      </c>
    </row>
    <row r="248" spans="1:19" x14ac:dyDescent="0.3">
      <c r="A248" t="s">
        <v>36</v>
      </c>
      <c r="B248">
        <v>311</v>
      </c>
      <c r="C248" t="s">
        <v>34</v>
      </c>
      <c r="D248">
        <v>19</v>
      </c>
      <c r="E248" t="s">
        <v>29</v>
      </c>
      <c r="F248">
        <v>5909</v>
      </c>
      <c r="G248">
        <v>673</v>
      </c>
      <c r="H248">
        <v>0</v>
      </c>
      <c r="I248">
        <v>116</v>
      </c>
      <c r="J248">
        <v>26</v>
      </c>
      <c r="K248">
        <v>815</v>
      </c>
      <c r="L248">
        <v>0.13792519884921306</v>
      </c>
      <c r="M248">
        <v>0.86207480115078694</v>
      </c>
      <c r="N248">
        <v>0</v>
      </c>
      <c r="O248">
        <v>1</v>
      </c>
      <c r="P248">
        <v>0.13792519884921306</v>
      </c>
      <c r="Q248">
        <v>9</v>
      </c>
      <c r="R248">
        <v>2024</v>
      </c>
      <c r="S248" s="1">
        <v>45536</v>
      </c>
    </row>
    <row r="249" spans="1:19" x14ac:dyDescent="0.3">
      <c r="A249" t="s">
        <v>36</v>
      </c>
      <c r="B249">
        <v>311</v>
      </c>
      <c r="C249" t="s">
        <v>34</v>
      </c>
      <c r="D249">
        <v>23</v>
      </c>
      <c r="E249" t="s">
        <v>30</v>
      </c>
      <c r="F249">
        <v>7153</v>
      </c>
      <c r="G249">
        <v>701</v>
      </c>
      <c r="H249">
        <v>0</v>
      </c>
      <c r="I249">
        <v>192</v>
      </c>
      <c r="J249">
        <v>82</v>
      </c>
      <c r="K249">
        <v>975</v>
      </c>
      <c r="L249">
        <v>0.13630644484831539</v>
      </c>
      <c r="M249">
        <v>0.86369355515168467</v>
      </c>
      <c r="N249">
        <v>0</v>
      </c>
      <c r="O249">
        <v>1</v>
      </c>
      <c r="P249">
        <v>0.13630644484831539</v>
      </c>
      <c r="Q249">
        <v>10</v>
      </c>
      <c r="R249">
        <v>2024</v>
      </c>
      <c r="S249" s="1">
        <v>45566</v>
      </c>
    </row>
    <row r="250" spans="1:19" x14ac:dyDescent="0.3">
      <c r="A250" t="s">
        <v>36</v>
      </c>
      <c r="B250">
        <v>311</v>
      </c>
      <c r="C250" t="s">
        <v>34</v>
      </c>
      <c r="D250">
        <v>20</v>
      </c>
      <c r="E250" t="s">
        <v>31</v>
      </c>
      <c r="F250">
        <v>6220</v>
      </c>
      <c r="G250">
        <v>743</v>
      </c>
      <c r="H250">
        <v>0</v>
      </c>
      <c r="I250">
        <v>90</v>
      </c>
      <c r="J250">
        <v>31</v>
      </c>
      <c r="K250">
        <v>864</v>
      </c>
      <c r="L250">
        <v>0.13890675241157557</v>
      </c>
      <c r="M250">
        <v>0.86109324758842443</v>
      </c>
      <c r="N250">
        <v>0</v>
      </c>
      <c r="O250">
        <v>1</v>
      </c>
      <c r="P250">
        <v>0.13890675241157557</v>
      </c>
      <c r="Q250">
        <v>11</v>
      </c>
      <c r="R250">
        <v>2024</v>
      </c>
      <c r="S250" s="1">
        <v>45597</v>
      </c>
    </row>
    <row r="251" spans="1:19" x14ac:dyDescent="0.3">
      <c r="A251" t="s">
        <v>36</v>
      </c>
      <c r="B251">
        <v>484</v>
      </c>
      <c r="C251" t="s">
        <v>34</v>
      </c>
      <c r="D251">
        <v>25</v>
      </c>
      <c r="E251" t="s">
        <v>32</v>
      </c>
      <c r="F251">
        <v>12100</v>
      </c>
      <c r="G251">
        <v>1351</v>
      </c>
      <c r="H251">
        <v>0</v>
      </c>
      <c r="I251">
        <v>72</v>
      </c>
      <c r="J251">
        <v>62</v>
      </c>
      <c r="K251">
        <v>1485</v>
      </c>
      <c r="L251">
        <v>0.12272727272727273</v>
      </c>
      <c r="M251">
        <v>0.87727272727272732</v>
      </c>
      <c r="N251">
        <v>0</v>
      </c>
      <c r="O251">
        <v>1</v>
      </c>
      <c r="P251">
        <v>0.12272727272727273</v>
      </c>
      <c r="Q251">
        <v>12</v>
      </c>
      <c r="R251">
        <v>2024</v>
      </c>
      <c r="S251" s="1">
        <v>45627</v>
      </c>
    </row>
    <row r="252" spans="1:19" x14ac:dyDescent="0.3">
      <c r="A252" t="s">
        <v>36</v>
      </c>
      <c r="B252">
        <v>484</v>
      </c>
      <c r="C252" t="s">
        <v>34</v>
      </c>
      <c r="D252">
        <v>25</v>
      </c>
      <c r="E252" t="s">
        <v>21</v>
      </c>
      <c r="F252">
        <v>12100</v>
      </c>
      <c r="G252">
        <v>1212</v>
      </c>
      <c r="H252">
        <v>0</v>
      </c>
      <c r="I252">
        <v>162</v>
      </c>
      <c r="J252">
        <v>87</v>
      </c>
      <c r="K252">
        <v>1461</v>
      </c>
      <c r="L252">
        <v>0.12074380165289256</v>
      </c>
      <c r="M252">
        <v>0.87925619834710744</v>
      </c>
      <c r="N252">
        <v>7.5700000000000003E-2</v>
      </c>
      <c r="O252">
        <v>0.92430000000000001</v>
      </c>
      <c r="P252">
        <v>4.5043801652892554E-2</v>
      </c>
      <c r="Q252">
        <v>1</v>
      </c>
      <c r="R252">
        <v>2025</v>
      </c>
      <c r="S252" s="1">
        <v>45658</v>
      </c>
    </row>
    <row r="253" spans="1:19" x14ac:dyDescent="0.3">
      <c r="A253" t="s">
        <v>36</v>
      </c>
      <c r="B253">
        <v>484</v>
      </c>
      <c r="C253" t="s">
        <v>34</v>
      </c>
      <c r="D253">
        <v>24</v>
      </c>
      <c r="E253" t="s">
        <v>22</v>
      </c>
      <c r="F253">
        <v>11616</v>
      </c>
      <c r="G253">
        <v>1188</v>
      </c>
      <c r="H253">
        <v>0</v>
      </c>
      <c r="I253">
        <v>144</v>
      </c>
      <c r="J253">
        <v>119</v>
      </c>
      <c r="K253">
        <v>1451</v>
      </c>
      <c r="L253">
        <v>0.12491391184573003</v>
      </c>
      <c r="M253">
        <v>0.87508608815426991</v>
      </c>
      <c r="N253">
        <v>7.7200000000000005E-2</v>
      </c>
      <c r="O253">
        <v>0.92279999999999995</v>
      </c>
      <c r="P253">
        <v>4.7713911845730025E-2</v>
      </c>
      <c r="Q253">
        <v>2</v>
      </c>
      <c r="R253">
        <v>2025</v>
      </c>
      <c r="S253" s="1">
        <v>45689</v>
      </c>
    </row>
    <row r="254" spans="1:19" x14ac:dyDescent="0.3">
      <c r="A254" t="s">
        <v>36</v>
      </c>
      <c r="B254">
        <v>484</v>
      </c>
      <c r="C254" t="s">
        <v>34</v>
      </c>
      <c r="D254">
        <v>23</v>
      </c>
      <c r="E254" t="s">
        <v>23</v>
      </c>
      <c r="F254">
        <v>11132</v>
      </c>
      <c r="G254">
        <v>1398</v>
      </c>
      <c r="H254">
        <v>0</v>
      </c>
      <c r="I254">
        <v>112</v>
      </c>
      <c r="J254">
        <v>95</v>
      </c>
      <c r="K254">
        <v>1605</v>
      </c>
      <c r="L254">
        <v>0.14417894358605821</v>
      </c>
      <c r="M254">
        <v>0.85582105641394179</v>
      </c>
      <c r="N254">
        <v>8.3099999999999993E-2</v>
      </c>
      <c r="O254">
        <v>0.91690000000000005</v>
      </c>
      <c r="P254">
        <v>6.1078943586058213E-2</v>
      </c>
      <c r="Q254">
        <v>3</v>
      </c>
      <c r="R254">
        <v>2025</v>
      </c>
      <c r="S254" s="1">
        <v>45717</v>
      </c>
    </row>
    <row r="255" spans="1:19" x14ac:dyDescent="0.3">
      <c r="A255" t="s">
        <v>36</v>
      </c>
      <c r="B255">
        <v>484</v>
      </c>
      <c r="C255" t="s">
        <v>34</v>
      </c>
      <c r="D255">
        <v>25</v>
      </c>
      <c r="E255" t="s">
        <v>24</v>
      </c>
      <c r="F255">
        <v>12100</v>
      </c>
      <c r="G255">
        <v>1642</v>
      </c>
      <c r="H255">
        <v>0</v>
      </c>
      <c r="I255">
        <v>101</v>
      </c>
      <c r="J255">
        <v>110</v>
      </c>
      <c r="K255">
        <v>1853</v>
      </c>
      <c r="L255">
        <v>0.15314049586776859</v>
      </c>
      <c r="M255">
        <v>0.84685950413223143</v>
      </c>
      <c r="N255">
        <v>9.5899999999999999E-2</v>
      </c>
      <c r="O255">
        <v>0.90410000000000001</v>
      </c>
      <c r="P255">
        <v>5.7240495867768595E-2</v>
      </c>
      <c r="Q255">
        <v>4</v>
      </c>
      <c r="R255">
        <v>2025</v>
      </c>
      <c r="S255" s="1">
        <v>45748</v>
      </c>
    </row>
    <row r="256" spans="1:19" x14ac:dyDescent="0.3">
      <c r="A256" t="s">
        <v>36</v>
      </c>
      <c r="B256">
        <v>484</v>
      </c>
      <c r="C256" t="s">
        <v>34</v>
      </c>
      <c r="D256">
        <v>26</v>
      </c>
      <c r="E256" t="s">
        <v>25</v>
      </c>
      <c r="F256">
        <v>12584</v>
      </c>
      <c r="G256">
        <v>2574</v>
      </c>
      <c r="H256">
        <v>0</v>
      </c>
      <c r="I256">
        <v>165</v>
      </c>
      <c r="J256">
        <v>159</v>
      </c>
      <c r="K256">
        <v>2898</v>
      </c>
      <c r="L256">
        <v>0.23029243483788939</v>
      </c>
      <c r="M256">
        <v>0.76970756516211059</v>
      </c>
      <c r="N256">
        <v>0.1386</v>
      </c>
      <c r="O256">
        <v>0.86139999999999994</v>
      </c>
      <c r="P256">
        <v>9.1692434837889386E-2</v>
      </c>
      <c r="Q256">
        <v>5</v>
      </c>
      <c r="R256">
        <v>2025</v>
      </c>
      <c r="S256" s="1">
        <v>45778</v>
      </c>
    </row>
    <row r="257" spans="1:19" x14ac:dyDescent="0.3">
      <c r="A257" t="s">
        <v>36</v>
      </c>
      <c r="B257">
        <v>484</v>
      </c>
      <c r="C257" t="s">
        <v>34</v>
      </c>
      <c r="D257">
        <v>16</v>
      </c>
      <c r="E257" t="s">
        <v>26</v>
      </c>
      <c r="F257">
        <v>7744</v>
      </c>
      <c r="G257">
        <v>1949</v>
      </c>
      <c r="H257">
        <v>0</v>
      </c>
      <c r="I257">
        <v>92</v>
      </c>
      <c r="J257">
        <v>65</v>
      </c>
      <c r="K257">
        <v>2106</v>
      </c>
      <c r="L257">
        <v>0.27195247933884298</v>
      </c>
      <c r="M257">
        <v>0.72804752066115697</v>
      </c>
      <c r="N257">
        <v>0.1598</v>
      </c>
      <c r="O257">
        <v>0.84020000000000006</v>
      </c>
      <c r="P257">
        <v>0.11215247933884298</v>
      </c>
      <c r="Q257">
        <v>6</v>
      </c>
      <c r="R257">
        <v>2025</v>
      </c>
      <c r="S257" s="1">
        <v>45809</v>
      </c>
    </row>
    <row r="258" spans="1:19" x14ac:dyDescent="0.3">
      <c r="A258" t="s">
        <v>36</v>
      </c>
      <c r="B258">
        <v>311</v>
      </c>
      <c r="C258" t="s">
        <v>34</v>
      </c>
      <c r="D258">
        <v>12</v>
      </c>
      <c r="E258" t="s">
        <v>27</v>
      </c>
      <c r="F258">
        <v>3732</v>
      </c>
      <c r="G258">
        <v>471</v>
      </c>
      <c r="H258">
        <v>0</v>
      </c>
      <c r="I258">
        <v>82</v>
      </c>
      <c r="J258">
        <v>14</v>
      </c>
      <c r="K258">
        <v>567</v>
      </c>
      <c r="L258">
        <v>0.15192926045016078</v>
      </c>
      <c r="M258">
        <v>0.84807073954983925</v>
      </c>
      <c r="N258">
        <v>9.7299999999999998E-2</v>
      </c>
      <c r="O258">
        <v>0.90270000000000006</v>
      </c>
      <c r="P258">
        <v>5.4629260450160783E-2</v>
      </c>
      <c r="Q258">
        <v>7</v>
      </c>
      <c r="R258">
        <v>2025</v>
      </c>
      <c r="S258" s="1">
        <v>45839</v>
      </c>
    </row>
    <row r="259" spans="1:19" x14ac:dyDescent="0.3">
      <c r="A259" t="s">
        <v>36</v>
      </c>
      <c r="B259">
        <v>311</v>
      </c>
      <c r="C259" t="s">
        <v>34</v>
      </c>
      <c r="D259">
        <v>21</v>
      </c>
      <c r="E259" t="s">
        <v>28</v>
      </c>
      <c r="F259">
        <v>6531</v>
      </c>
      <c r="G259">
        <v>885</v>
      </c>
      <c r="H259">
        <v>0</v>
      </c>
      <c r="I259">
        <v>124</v>
      </c>
      <c r="J259">
        <v>27</v>
      </c>
      <c r="K259">
        <v>1036</v>
      </c>
      <c r="L259">
        <v>0.15862808145766344</v>
      </c>
      <c r="M259">
        <v>0.84137191854233651</v>
      </c>
      <c r="N259">
        <v>0.11020000000000001</v>
      </c>
      <c r="O259">
        <v>0.88980000000000004</v>
      </c>
      <c r="P259">
        <v>4.8428081457663433E-2</v>
      </c>
      <c r="Q259">
        <v>8</v>
      </c>
      <c r="R259">
        <v>2025</v>
      </c>
      <c r="S259" s="1">
        <v>45870</v>
      </c>
    </row>
    <row r="260" spans="1:19" x14ac:dyDescent="0.3">
      <c r="A260" t="s">
        <v>36</v>
      </c>
      <c r="B260">
        <v>311</v>
      </c>
      <c r="C260" t="s">
        <v>34</v>
      </c>
      <c r="D260">
        <v>20</v>
      </c>
      <c r="E260" t="s">
        <v>29</v>
      </c>
      <c r="F260">
        <v>6220</v>
      </c>
      <c r="G260">
        <v>489</v>
      </c>
      <c r="H260">
        <v>0</v>
      </c>
      <c r="I260">
        <v>76</v>
      </c>
      <c r="J260">
        <v>63</v>
      </c>
      <c r="K260">
        <v>628</v>
      </c>
      <c r="L260">
        <v>0.10096463022508038</v>
      </c>
      <c r="M260">
        <v>0.8990353697749196</v>
      </c>
      <c r="N260">
        <v>0.1157</v>
      </c>
      <c r="O260">
        <v>0.88429999999999997</v>
      </c>
      <c r="P260">
        <v>-1.4735369774919613E-2</v>
      </c>
      <c r="Q260">
        <v>9</v>
      </c>
      <c r="R260">
        <v>2025</v>
      </c>
      <c r="S260" s="1">
        <v>45901</v>
      </c>
    </row>
    <row r="261" spans="1:19" x14ac:dyDescent="0.3">
      <c r="A261" t="s">
        <v>36</v>
      </c>
      <c r="B261">
        <v>311</v>
      </c>
      <c r="C261" t="s">
        <v>34</v>
      </c>
      <c r="D261">
        <v>23</v>
      </c>
      <c r="E261" t="s">
        <v>30</v>
      </c>
      <c r="F261">
        <v>7153</v>
      </c>
      <c r="G261">
        <v>553</v>
      </c>
      <c r="H261">
        <v>0</v>
      </c>
      <c r="I261">
        <v>80</v>
      </c>
      <c r="J261">
        <v>77</v>
      </c>
      <c r="K261">
        <v>710</v>
      </c>
      <c r="L261">
        <v>9.925905214595275E-2</v>
      </c>
      <c r="M261">
        <v>0.90074094785404724</v>
      </c>
      <c r="N261">
        <v>0.1143</v>
      </c>
      <c r="O261">
        <v>0.88570000000000004</v>
      </c>
      <c r="P261">
        <v>-1.5040947854047249E-2</v>
      </c>
      <c r="Q261">
        <v>10</v>
      </c>
      <c r="R261">
        <v>2025</v>
      </c>
      <c r="S261" s="1">
        <v>45931</v>
      </c>
    </row>
    <row r="262" spans="1:19" x14ac:dyDescent="0.3">
      <c r="A262" t="s">
        <v>36</v>
      </c>
      <c r="B262">
        <v>311</v>
      </c>
      <c r="C262" t="s">
        <v>34</v>
      </c>
      <c r="D262">
        <v>21</v>
      </c>
      <c r="E262" t="s">
        <v>31</v>
      </c>
      <c r="F262">
        <v>6531</v>
      </c>
      <c r="G262">
        <v>647</v>
      </c>
      <c r="H262">
        <v>0</v>
      </c>
      <c r="I262">
        <v>132</v>
      </c>
      <c r="J262">
        <v>59</v>
      </c>
      <c r="K262">
        <v>838</v>
      </c>
      <c r="L262">
        <v>0.12831113152656562</v>
      </c>
      <c r="M262">
        <v>0.87168886847343441</v>
      </c>
      <c r="N262">
        <v>0.11650000000000001</v>
      </c>
      <c r="O262">
        <v>0.88349999999999995</v>
      </c>
      <c r="P262">
        <v>1.1811131526565613E-2</v>
      </c>
      <c r="Q262">
        <v>11</v>
      </c>
      <c r="R262">
        <v>2025</v>
      </c>
      <c r="S262" s="1">
        <v>45962</v>
      </c>
    </row>
    <row r="263" spans="1:19" x14ac:dyDescent="0.3">
      <c r="A263" t="s">
        <v>36</v>
      </c>
      <c r="B263">
        <v>157</v>
      </c>
      <c r="C263" t="s">
        <v>20</v>
      </c>
      <c r="D263">
        <v>21</v>
      </c>
      <c r="E263" t="s">
        <v>31</v>
      </c>
      <c r="F263">
        <v>3297</v>
      </c>
      <c r="G263">
        <v>0</v>
      </c>
      <c r="H263">
        <v>0</v>
      </c>
      <c r="I263">
        <v>0</v>
      </c>
      <c r="J263">
        <v>30</v>
      </c>
      <c r="K263">
        <v>30</v>
      </c>
      <c r="L263">
        <v>9.0991810737033659E-3</v>
      </c>
      <c r="M263">
        <v>0.99090081892629667</v>
      </c>
      <c r="N263">
        <v>0.11650000000000001</v>
      </c>
      <c r="O263">
        <v>0.88349999999999995</v>
      </c>
      <c r="P263">
        <v>-0.10740081892629665</v>
      </c>
      <c r="Q263">
        <v>11</v>
      </c>
      <c r="R263">
        <v>2025</v>
      </c>
      <c r="S263" s="1">
        <v>45962</v>
      </c>
    </row>
    <row r="264" spans="1:19" x14ac:dyDescent="0.3">
      <c r="A264" t="s">
        <v>36</v>
      </c>
      <c r="B264">
        <v>484</v>
      </c>
      <c r="C264" t="s">
        <v>34</v>
      </c>
      <c r="D264">
        <v>26</v>
      </c>
      <c r="E264" t="s">
        <v>32</v>
      </c>
      <c r="F264">
        <v>12584</v>
      </c>
      <c r="G264">
        <v>1727</v>
      </c>
      <c r="H264">
        <v>0</v>
      </c>
      <c r="I264">
        <v>188</v>
      </c>
      <c r="J264">
        <v>74</v>
      </c>
      <c r="K264">
        <v>1989</v>
      </c>
      <c r="L264">
        <v>0.15805785123966942</v>
      </c>
      <c r="M264">
        <v>0.84194214876033058</v>
      </c>
      <c r="N264">
        <v>7.5999999999999998E-2</v>
      </c>
      <c r="O264">
        <v>0.92400000000000004</v>
      </c>
      <c r="P264">
        <v>8.2057851239669424E-2</v>
      </c>
      <c r="Q264">
        <v>12</v>
      </c>
      <c r="R264">
        <v>2025</v>
      </c>
      <c r="S264" s="1">
        <v>45992</v>
      </c>
    </row>
    <row r="265" spans="1:19" x14ac:dyDescent="0.3">
      <c r="A265" t="s">
        <v>36</v>
      </c>
      <c r="B265">
        <v>154</v>
      </c>
      <c r="C265" t="s">
        <v>20</v>
      </c>
      <c r="D265">
        <v>26</v>
      </c>
      <c r="E265" t="s">
        <v>32</v>
      </c>
      <c r="F265">
        <v>4004</v>
      </c>
      <c r="G265">
        <v>0</v>
      </c>
      <c r="H265">
        <v>0</v>
      </c>
      <c r="I265">
        <v>39</v>
      </c>
      <c r="J265">
        <v>0</v>
      </c>
      <c r="K265">
        <v>39</v>
      </c>
      <c r="L265">
        <v>9.74025974025974E-3</v>
      </c>
      <c r="M265">
        <v>0.99025974025974028</v>
      </c>
      <c r="N265">
        <v>7.5999999999999998E-2</v>
      </c>
      <c r="O265">
        <v>0.92400000000000004</v>
      </c>
      <c r="P265">
        <v>-6.6259740259740255E-2</v>
      </c>
      <c r="Q265">
        <v>12</v>
      </c>
      <c r="R265">
        <v>2025</v>
      </c>
      <c r="S265" s="1">
        <v>45992</v>
      </c>
    </row>
    <row r="266" spans="1:19" x14ac:dyDescent="0.3">
      <c r="A266" t="s">
        <v>36</v>
      </c>
      <c r="B266">
        <v>484</v>
      </c>
      <c r="C266" t="s">
        <v>34</v>
      </c>
      <c r="D266">
        <v>25</v>
      </c>
      <c r="E266" t="s">
        <v>21</v>
      </c>
      <c r="F266">
        <v>12100</v>
      </c>
      <c r="G266">
        <v>1499</v>
      </c>
      <c r="H266">
        <v>0</v>
      </c>
      <c r="I266">
        <v>172</v>
      </c>
      <c r="J266">
        <v>97</v>
      </c>
      <c r="K266">
        <v>1768</v>
      </c>
      <c r="L266">
        <v>0.14611570247933883</v>
      </c>
      <c r="M266">
        <v>0.8538842975206612</v>
      </c>
      <c r="N266">
        <v>0.1022</v>
      </c>
      <c r="O266">
        <v>0.89780000000000004</v>
      </c>
      <c r="P266">
        <v>4.3915702479338833E-2</v>
      </c>
      <c r="Q266">
        <v>1</v>
      </c>
      <c r="R266">
        <v>2026</v>
      </c>
      <c r="S266" s="1">
        <v>46023</v>
      </c>
    </row>
    <row r="267" spans="1:19" x14ac:dyDescent="0.3">
      <c r="A267" t="s">
        <v>36</v>
      </c>
      <c r="B267">
        <v>158</v>
      </c>
      <c r="C267" t="s">
        <v>20</v>
      </c>
      <c r="D267">
        <v>25</v>
      </c>
      <c r="E267" t="s">
        <v>21</v>
      </c>
      <c r="F267">
        <v>3950</v>
      </c>
      <c r="G267">
        <v>0</v>
      </c>
      <c r="H267">
        <v>0</v>
      </c>
      <c r="I267">
        <v>31</v>
      </c>
      <c r="J267">
        <v>0</v>
      </c>
      <c r="K267">
        <v>31</v>
      </c>
      <c r="L267">
        <v>7.8481012658227853E-3</v>
      </c>
      <c r="M267">
        <v>0.9921518987341772</v>
      </c>
      <c r="N267">
        <v>0.1022</v>
      </c>
      <c r="O267">
        <v>0.89780000000000004</v>
      </c>
      <c r="P267">
        <v>-9.4351898734177209E-2</v>
      </c>
      <c r="Q267">
        <v>1</v>
      </c>
      <c r="R267">
        <v>2026</v>
      </c>
      <c r="S267" s="1">
        <v>46023</v>
      </c>
    </row>
    <row r="268" spans="1:19" x14ac:dyDescent="0.3">
      <c r="A268" t="s">
        <v>36</v>
      </c>
      <c r="B268">
        <v>484</v>
      </c>
      <c r="C268" t="s">
        <v>34</v>
      </c>
      <c r="D268">
        <v>23</v>
      </c>
      <c r="E268" t="s">
        <v>22</v>
      </c>
      <c r="F268">
        <v>11132</v>
      </c>
      <c r="G268">
        <v>1292</v>
      </c>
      <c r="H268">
        <v>0</v>
      </c>
      <c r="I268">
        <v>167</v>
      </c>
      <c r="J268">
        <v>136</v>
      </c>
      <c r="K268">
        <v>1595</v>
      </c>
      <c r="L268">
        <v>0.1432806324110672</v>
      </c>
      <c r="M268">
        <v>0.85671936758893286</v>
      </c>
      <c r="N268">
        <v>0.10580000000000001</v>
      </c>
      <c r="O268">
        <v>0.89419999999999999</v>
      </c>
      <c r="P268">
        <v>3.7480632411067194E-2</v>
      </c>
      <c r="Q268">
        <v>2</v>
      </c>
      <c r="R268">
        <v>2026</v>
      </c>
      <c r="S268" s="1">
        <v>46054</v>
      </c>
    </row>
    <row r="269" spans="1:19" x14ac:dyDescent="0.3">
      <c r="A269" t="s">
        <v>36</v>
      </c>
      <c r="B269">
        <v>156</v>
      </c>
      <c r="C269" t="s">
        <v>20</v>
      </c>
      <c r="D269">
        <v>23</v>
      </c>
      <c r="E269" t="s">
        <v>22</v>
      </c>
      <c r="F269">
        <v>3588</v>
      </c>
      <c r="G269">
        <v>0</v>
      </c>
      <c r="H269">
        <v>0</v>
      </c>
      <c r="I269">
        <v>28</v>
      </c>
      <c r="J269">
        <v>0</v>
      </c>
      <c r="K269">
        <v>28</v>
      </c>
      <c r="L269">
        <v>7.803790412486065E-3</v>
      </c>
      <c r="M269">
        <v>0.99219620958751398</v>
      </c>
      <c r="N269">
        <v>0.10580000000000001</v>
      </c>
      <c r="O269">
        <v>0.89419999999999999</v>
      </c>
      <c r="P269">
        <v>-9.7996209587513941E-2</v>
      </c>
      <c r="Q269">
        <v>2</v>
      </c>
      <c r="R269">
        <v>2026</v>
      </c>
      <c r="S269" s="1">
        <v>46054</v>
      </c>
    </row>
    <row r="270" spans="1:19" x14ac:dyDescent="0.3">
      <c r="A270" t="s">
        <v>36</v>
      </c>
      <c r="B270">
        <v>484</v>
      </c>
      <c r="C270" t="s">
        <v>34</v>
      </c>
      <c r="D270">
        <v>25</v>
      </c>
      <c r="E270" t="s">
        <v>23</v>
      </c>
      <c r="F270">
        <v>12100</v>
      </c>
      <c r="G270">
        <v>1918</v>
      </c>
      <c r="H270">
        <v>0</v>
      </c>
      <c r="I270">
        <v>221</v>
      </c>
      <c r="J270">
        <v>176</v>
      </c>
      <c r="K270">
        <v>2315</v>
      </c>
      <c r="L270">
        <v>0.19132231404958677</v>
      </c>
      <c r="M270">
        <v>0.80867768595041323</v>
      </c>
      <c r="N270">
        <v>0.1221</v>
      </c>
      <c r="O270">
        <v>0.87790000000000001</v>
      </c>
      <c r="P270">
        <v>6.9222314049586772E-2</v>
      </c>
      <c r="Q270">
        <v>3</v>
      </c>
      <c r="R270">
        <v>2026</v>
      </c>
      <c r="S270" s="1">
        <v>46082</v>
      </c>
    </row>
    <row r="271" spans="1:19" x14ac:dyDescent="0.3">
      <c r="A271" t="s">
        <v>36</v>
      </c>
      <c r="B271">
        <v>159</v>
      </c>
      <c r="C271" t="s">
        <v>20</v>
      </c>
      <c r="D271">
        <v>25</v>
      </c>
      <c r="E271" t="s">
        <v>23</v>
      </c>
      <c r="F271">
        <v>3975</v>
      </c>
      <c r="G271">
        <v>0</v>
      </c>
      <c r="H271">
        <v>0</v>
      </c>
      <c r="I271">
        <v>32</v>
      </c>
      <c r="J271">
        <v>13</v>
      </c>
      <c r="K271">
        <v>45</v>
      </c>
      <c r="L271">
        <v>1.1320754716981131E-2</v>
      </c>
      <c r="M271">
        <v>0.98867924528301887</v>
      </c>
      <c r="N271">
        <v>0.1221</v>
      </c>
      <c r="O271">
        <v>0.87790000000000001</v>
      </c>
      <c r="P271">
        <v>-0.11077924528301887</v>
      </c>
      <c r="Q271">
        <v>3</v>
      </c>
      <c r="R271">
        <v>2026</v>
      </c>
      <c r="S271" s="1">
        <v>46082</v>
      </c>
    </row>
    <row r="272" spans="1:19" x14ac:dyDescent="0.3">
      <c r="A272" t="s">
        <v>36</v>
      </c>
      <c r="B272">
        <v>484</v>
      </c>
      <c r="C272" t="s">
        <v>34</v>
      </c>
      <c r="D272">
        <v>25</v>
      </c>
      <c r="E272" t="s">
        <v>24</v>
      </c>
      <c r="F272">
        <v>12100</v>
      </c>
      <c r="G272">
        <v>1589</v>
      </c>
      <c r="H272">
        <v>0</v>
      </c>
      <c r="I272">
        <v>175</v>
      </c>
      <c r="J272">
        <v>149</v>
      </c>
      <c r="K272">
        <v>1913</v>
      </c>
      <c r="L272">
        <v>0.158099173553719</v>
      </c>
      <c r="M272">
        <v>0.84190082644628106</v>
      </c>
      <c r="N272">
        <v>0.12970000000000001</v>
      </c>
      <c r="O272">
        <v>0.87029999999999996</v>
      </c>
      <c r="P272">
        <v>2.8399173553718987E-2</v>
      </c>
      <c r="Q272">
        <v>4</v>
      </c>
      <c r="R272">
        <v>2026</v>
      </c>
      <c r="S272" s="1">
        <v>46113</v>
      </c>
    </row>
    <row r="273" spans="1:19" x14ac:dyDescent="0.3">
      <c r="A273" t="s">
        <v>36</v>
      </c>
      <c r="B273">
        <v>161</v>
      </c>
      <c r="C273" t="s">
        <v>20</v>
      </c>
      <c r="D273">
        <v>25</v>
      </c>
      <c r="E273" t="s">
        <v>24</v>
      </c>
      <c r="F273">
        <v>4025</v>
      </c>
      <c r="G273">
        <v>0</v>
      </c>
      <c r="H273">
        <v>0</v>
      </c>
      <c r="I273">
        <v>3</v>
      </c>
      <c r="J273">
        <v>15</v>
      </c>
      <c r="K273">
        <v>18</v>
      </c>
      <c r="L273">
        <v>4.4720496894409935E-3</v>
      </c>
      <c r="M273">
        <v>0.99552795031055896</v>
      </c>
      <c r="N273">
        <v>0.12970000000000001</v>
      </c>
      <c r="O273">
        <v>0.87029999999999996</v>
      </c>
      <c r="P273">
        <v>-0.12522795031055903</v>
      </c>
      <c r="Q273">
        <v>4</v>
      </c>
      <c r="R273">
        <v>2026</v>
      </c>
      <c r="S273" s="1">
        <v>46113</v>
      </c>
    </row>
    <row r="274" spans="1:19" x14ac:dyDescent="0.3">
      <c r="A274" t="s">
        <v>36</v>
      </c>
      <c r="C274" t="s">
        <v>34</v>
      </c>
      <c r="E274" t="s">
        <v>25</v>
      </c>
      <c r="N274">
        <v>0.19500000000000001</v>
      </c>
      <c r="O274">
        <v>0.80499999999999994</v>
      </c>
      <c r="Q274">
        <v>5</v>
      </c>
      <c r="R274">
        <v>2026</v>
      </c>
      <c r="S274" s="1">
        <v>46143</v>
      </c>
    </row>
    <row r="275" spans="1:19" x14ac:dyDescent="0.3">
      <c r="A275" t="s">
        <v>36</v>
      </c>
      <c r="C275" t="s">
        <v>20</v>
      </c>
      <c r="E275" t="s">
        <v>25</v>
      </c>
      <c r="N275">
        <v>0.19500000000000001</v>
      </c>
      <c r="O275">
        <v>0.80499999999999994</v>
      </c>
      <c r="Q275">
        <v>5</v>
      </c>
      <c r="R275">
        <v>2026</v>
      </c>
      <c r="S275" s="1">
        <v>46143</v>
      </c>
    </row>
    <row r="276" spans="1:19" x14ac:dyDescent="0.3">
      <c r="A276" t="s">
        <v>36</v>
      </c>
      <c r="C276" t="s">
        <v>34</v>
      </c>
      <c r="E276" t="s">
        <v>26</v>
      </c>
      <c r="N276">
        <v>0.2303</v>
      </c>
      <c r="O276">
        <v>0.76970000000000005</v>
      </c>
      <c r="Q276">
        <v>6</v>
      </c>
      <c r="R276">
        <v>2026</v>
      </c>
      <c r="S276" s="1">
        <v>46174</v>
      </c>
    </row>
    <row r="277" spans="1:19" x14ac:dyDescent="0.3">
      <c r="A277" t="s">
        <v>36</v>
      </c>
      <c r="C277" t="s">
        <v>20</v>
      </c>
      <c r="E277" t="s">
        <v>26</v>
      </c>
      <c r="N277">
        <v>0.2303</v>
      </c>
      <c r="O277">
        <v>0.76970000000000005</v>
      </c>
      <c r="Q277">
        <v>6</v>
      </c>
      <c r="R277">
        <v>2026</v>
      </c>
      <c r="S277" s="1">
        <v>46174</v>
      </c>
    </row>
    <row r="278" spans="1:19" x14ac:dyDescent="0.3">
      <c r="A278" t="s">
        <v>36</v>
      </c>
      <c r="C278" t="s">
        <v>34</v>
      </c>
      <c r="E278" t="s">
        <v>27</v>
      </c>
      <c r="N278">
        <v>0.12859999999999999</v>
      </c>
      <c r="O278">
        <v>0.87139999999999995</v>
      </c>
      <c r="Q278">
        <v>7</v>
      </c>
      <c r="R278">
        <v>2026</v>
      </c>
      <c r="S278" s="1">
        <v>46204</v>
      </c>
    </row>
    <row r="279" spans="1:19" x14ac:dyDescent="0.3">
      <c r="A279" t="s">
        <v>36</v>
      </c>
      <c r="C279" t="s">
        <v>20</v>
      </c>
      <c r="E279" t="s">
        <v>27</v>
      </c>
      <c r="N279">
        <v>0.12859999999999999</v>
      </c>
      <c r="O279">
        <v>0.87139999999999995</v>
      </c>
      <c r="Q279">
        <v>7</v>
      </c>
      <c r="R279">
        <v>2026</v>
      </c>
      <c r="S279" s="1">
        <v>46204</v>
      </c>
    </row>
    <row r="280" spans="1:19" x14ac:dyDescent="0.3">
      <c r="A280" t="s">
        <v>36</v>
      </c>
      <c r="C280" t="s">
        <v>34</v>
      </c>
      <c r="E280" t="s">
        <v>28</v>
      </c>
      <c r="N280">
        <v>0.1343</v>
      </c>
      <c r="O280">
        <v>0.86570000000000003</v>
      </c>
      <c r="Q280">
        <v>8</v>
      </c>
      <c r="R280">
        <v>2026</v>
      </c>
      <c r="S280" s="1">
        <v>46235</v>
      </c>
    </row>
    <row r="281" spans="1:19" x14ac:dyDescent="0.3">
      <c r="A281" t="s">
        <v>36</v>
      </c>
      <c r="C281" t="s">
        <v>20</v>
      </c>
      <c r="E281" t="s">
        <v>28</v>
      </c>
      <c r="N281">
        <v>0.1343</v>
      </c>
      <c r="O281">
        <v>0.86570000000000003</v>
      </c>
      <c r="Q281">
        <v>8</v>
      </c>
      <c r="R281">
        <v>2026</v>
      </c>
      <c r="S281" s="1">
        <v>46235</v>
      </c>
    </row>
    <row r="282" spans="1:19" x14ac:dyDescent="0.3">
      <c r="A282" t="s">
        <v>36</v>
      </c>
      <c r="C282" t="s">
        <v>34</v>
      </c>
      <c r="E282" t="s">
        <v>29</v>
      </c>
      <c r="N282">
        <v>8.5500000000000007E-2</v>
      </c>
      <c r="O282">
        <v>0.91449999999999998</v>
      </c>
      <c r="Q282">
        <v>9</v>
      </c>
      <c r="R282">
        <v>2026</v>
      </c>
      <c r="S282" s="1">
        <v>46266</v>
      </c>
    </row>
    <row r="283" spans="1:19" x14ac:dyDescent="0.3">
      <c r="A283" t="s">
        <v>36</v>
      </c>
      <c r="C283" t="s">
        <v>20</v>
      </c>
      <c r="E283" t="s">
        <v>29</v>
      </c>
      <c r="N283">
        <v>8.5500000000000007E-2</v>
      </c>
      <c r="O283">
        <v>0.91449999999999998</v>
      </c>
      <c r="Q283">
        <v>9</v>
      </c>
      <c r="R283">
        <v>2026</v>
      </c>
      <c r="S283" s="1">
        <v>46266</v>
      </c>
    </row>
    <row r="284" spans="1:19" x14ac:dyDescent="0.3">
      <c r="A284" t="s">
        <v>36</v>
      </c>
      <c r="C284" t="s">
        <v>34</v>
      </c>
      <c r="E284" t="s">
        <v>30</v>
      </c>
      <c r="N284">
        <v>8.4000000000000005E-2</v>
      </c>
      <c r="O284">
        <v>0.91600000000000004</v>
      </c>
      <c r="Q284">
        <v>10</v>
      </c>
      <c r="R284">
        <v>2026</v>
      </c>
      <c r="S284" s="1">
        <v>46296</v>
      </c>
    </row>
    <row r="285" spans="1:19" x14ac:dyDescent="0.3">
      <c r="A285" t="s">
        <v>36</v>
      </c>
      <c r="C285" t="s">
        <v>20</v>
      </c>
      <c r="E285" t="s">
        <v>30</v>
      </c>
      <c r="N285">
        <v>8.4000000000000005E-2</v>
      </c>
      <c r="O285">
        <v>0.91600000000000004</v>
      </c>
      <c r="Q285">
        <v>10</v>
      </c>
      <c r="R285">
        <v>2026</v>
      </c>
      <c r="S285" s="1">
        <v>46296</v>
      </c>
    </row>
    <row r="286" spans="1:19" x14ac:dyDescent="0.3">
      <c r="A286" t="s">
        <v>36</v>
      </c>
      <c r="C286" t="s">
        <v>34</v>
      </c>
      <c r="E286" t="s">
        <v>31</v>
      </c>
      <c r="N286">
        <v>0.1086</v>
      </c>
      <c r="O286">
        <v>0.89139999999999997</v>
      </c>
      <c r="Q286">
        <v>11</v>
      </c>
      <c r="R286">
        <v>2026</v>
      </c>
      <c r="S286" s="1">
        <v>46327</v>
      </c>
    </row>
    <row r="287" spans="1:19" x14ac:dyDescent="0.3">
      <c r="A287" t="s">
        <v>36</v>
      </c>
      <c r="C287" t="s">
        <v>20</v>
      </c>
      <c r="E287" t="s">
        <v>31</v>
      </c>
      <c r="N287">
        <v>0.1086</v>
      </c>
      <c r="O287">
        <v>0.89139999999999997</v>
      </c>
      <c r="Q287">
        <v>11</v>
      </c>
      <c r="R287">
        <v>2026</v>
      </c>
      <c r="S287" s="1">
        <v>46327</v>
      </c>
    </row>
    <row r="288" spans="1:19" x14ac:dyDescent="0.3">
      <c r="A288" t="s">
        <v>36</v>
      </c>
      <c r="C288" t="s">
        <v>34</v>
      </c>
      <c r="E288" t="s">
        <v>32</v>
      </c>
      <c r="N288">
        <v>0.1338</v>
      </c>
      <c r="O288">
        <v>0.86619999999999997</v>
      </c>
      <c r="Q288">
        <v>12</v>
      </c>
      <c r="R288">
        <v>2026</v>
      </c>
      <c r="S288" s="1">
        <v>46357</v>
      </c>
    </row>
    <row r="289" spans="1:19" x14ac:dyDescent="0.3">
      <c r="A289" t="s">
        <v>36</v>
      </c>
      <c r="C289" t="s">
        <v>20</v>
      </c>
      <c r="E289" t="s">
        <v>32</v>
      </c>
      <c r="N289">
        <v>0.1338</v>
      </c>
      <c r="O289">
        <v>0.86619999999999997</v>
      </c>
      <c r="Q289">
        <v>12</v>
      </c>
      <c r="R289">
        <v>2026</v>
      </c>
      <c r="S289" s="1">
        <v>46357</v>
      </c>
    </row>
    <row r="290" spans="1:19" x14ac:dyDescent="0.3">
      <c r="A290" t="s">
        <v>37</v>
      </c>
      <c r="B290">
        <v>110</v>
      </c>
      <c r="C290" t="s">
        <v>20</v>
      </c>
      <c r="D290">
        <v>26</v>
      </c>
      <c r="E290" t="s">
        <v>21</v>
      </c>
      <c r="F290">
        <v>2860</v>
      </c>
      <c r="G290">
        <v>0</v>
      </c>
      <c r="H290">
        <v>0</v>
      </c>
      <c r="I290">
        <v>0</v>
      </c>
      <c r="J290">
        <v>8</v>
      </c>
      <c r="K290">
        <v>8</v>
      </c>
      <c r="L290">
        <v>2.7972027972027972E-3</v>
      </c>
      <c r="M290">
        <v>0.99720279720279725</v>
      </c>
      <c r="N290">
        <v>0</v>
      </c>
      <c r="O290">
        <v>1</v>
      </c>
      <c r="P290">
        <v>2.7972027972027972E-3</v>
      </c>
      <c r="Q290">
        <v>1</v>
      </c>
      <c r="R290">
        <v>2023</v>
      </c>
      <c r="S290" s="1">
        <v>44927</v>
      </c>
    </row>
    <row r="291" spans="1:19" x14ac:dyDescent="0.3">
      <c r="A291" t="s">
        <v>37</v>
      </c>
      <c r="B291">
        <v>117</v>
      </c>
      <c r="C291" t="s">
        <v>20</v>
      </c>
      <c r="D291">
        <v>24</v>
      </c>
      <c r="E291" t="s">
        <v>22</v>
      </c>
      <c r="F291">
        <v>2808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2</v>
      </c>
      <c r="R291">
        <v>2023</v>
      </c>
      <c r="S291" s="1">
        <v>44958</v>
      </c>
    </row>
    <row r="292" spans="1:19" x14ac:dyDescent="0.3">
      <c r="A292" t="s">
        <v>37</v>
      </c>
      <c r="B292">
        <v>118</v>
      </c>
      <c r="C292" t="s">
        <v>20</v>
      </c>
      <c r="D292">
        <v>27</v>
      </c>
      <c r="E292" t="s">
        <v>23</v>
      </c>
      <c r="F292">
        <v>3186</v>
      </c>
      <c r="G292">
        <v>0</v>
      </c>
      <c r="H292">
        <v>0</v>
      </c>
      <c r="I292">
        <v>6</v>
      </c>
      <c r="J292">
        <v>0</v>
      </c>
      <c r="K292">
        <v>6</v>
      </c>
      <c r="L292">
        <v>1.8832391713747645E-3</v>
      </c>
      <c r="M292">
        <v>0.99811676082862522</v>
      </c>
      <c r="N292">
        <v>0</v>
      </c>
      <c r="O292">
        <v>1</v>
      </c>
      <c r="P292">
        <v>1.8832391713747645E-3</v>
      </c>
      <c r="Q292">
        <v>3</v>
      </c>
      <c r="R292">
        <v>2023</v>
      </c>
      <c r="S292" s="1">
        <v>44986</v>
      </c>
    </row>
    <row r="293" spans="1:19" x14ac:dyDescent="0.3">
      <c r="A293" t="s">
        <v>37</v>
      </c>
      <c r="B293">
        <v>119</v>
      </c>
      <c r="C293" t="s">
        <v>20</v>
      </c>
      <c r="D293">
        <v>25</v>
      </c>
      <c r="E293" t="s">
        <v>24</v>
      </c>
      <c r="F293">
        <v>2975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</v>
      </c>
      <c r="N293">
        <v>0</v>
      </c>
      <c r="O293">
        <v>1</v>
      </c>
      <c r="P293">
        <v>0</v>
      </c>
      <c r="Q293">
        <v>4</v>
      </c>
      <c r="R293">
        <v>2023</v>
      </c>
      <c r="S293" s="1">
        <v>45017</v>
      </c>
    </row>
    <row r="294" spans="1:19" x14ac:dyDescent="0.3">
      <c r="A294" t="s">
        <v>37</v>
      </c>
      <c r="B294">
        <v>93</v>
      </c>
      <c r="C294" t="s">
        <v>20</v>
      </c>
      <c r="D294">
        <v>8</v>
      </c>
      <c r="E294" t="s">
        <v>25</v>
      </c>
      <c r="F294">
        <v>744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1</v>
      </c>
      <c r="P294">
        <v>0</v>
      </c>
      <c r="Q294">
        <v>5</v>
      </c>
      <c r="R294">
        <v>2023</v>
      </c>
      <c r="S294" s="1">
        <v>45047</v>
      </c>
    </row>
    <row r="295" spans="1:19" x14ac:dyDescent="0.3">
      <c r="A295" t="s">
        <v>37</v>
      </c>
      <c r="B295">
        <v>93</v>
      </c>
      <c r="C295" t="s">
        <v>20</v>
      </c>
      <c r="D295">
        <v>22</v>
      </c>
      <c r="E295" t="s">
        <v>26</v>
      </c>
      <c r="F295">
        <v>2046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</v>
      </c>
      <c r="P295">
        <v>0</v>
      </c>
      <c r="Q295">
        <v>6</v>
      </c>
      <c r="R295">
        <v>2023</v>
      </c>
      <c r="S295" s="1">
        <v>45078</v>
      </c>
    </row>
    <row r="296" spans="1:19" x14ac:dyDescent="0.3">
      <c r="A296" t="s">
        <v>37</v>
      </c>
      <c r="B296">
        <v>93</v>
      </c>
      <c r="C296" t="s">
        <v>20</v>
      </c>
      <c r="D296">
        <v>21</v>
      </c>
      <c r="E296" t="s">
        <v>27</v>
      </c>
      <c r="F296">
        <v>1953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7</v>
      </c>
      <c r="R296">
        <v>2023</v>
      </c>
      <c r="S296" s="1">
        <v>45108</v>
      </c>
    </row>
    <row r="297" spans="1:19" x14ac:dyDescent="0.3">
      <c r="A297" t="s">
        <v>37</v>
      </c>
      <c r="B297">
        <v>91</v>
      </c>
      <c r="C297" t="s">
        <v>20</v>
      </c>
      <c r="D297">
        <v>23</v>
      </c>
      <c r="E297" t="s">
        <v>28</v>
      </c>
      <c r="F297">
        <v>2093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</v>
      </c>
      <c r="N297">
        <v>0</v>
      </c>
      <c r="O297">
        <v>1</v>
      </c>
      <c r="P297">
        <v>0</v>
      </c>
      <c r="Q297">
        <v>8</v>
      </c>
      <c r="R297">
        <v>2023</v>
      </c>
      <c r="S297" s="1">
        <v>45139</v>
      </c>
    </row>
    <row r="298" spans="1:19" x14ac:dyDescent="0.3">
      <c r="A298" t="s">
        <v>37</v>
      </c>
      <c r="B298">
        <v>91</v>
      </c>
      <c r="C298" t="s">
        <v>20</v>
      </c>
      <c r="D298">
        <v>21</v>
      </c>
      <c r="E298" t="s">
        <v>29</v>
      </c>
      <c r="F298">
        <v>1911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1</v>
      </c>
      <c r="P298">
        <v>0</v>
      </c>
      <c r="Q298">
        <v>9</v>
      </c>
      <c r="R298">
        <v>2023</v>
      </c>
      <c r="S298" s="1">
        <v>45170</v>
      </c>
    </row>
    <row r="299" spans="1:19" x14ac:dyDescent="0.3">
      <c r="A299" t="s">
        <v>37</v>
      </c>
      <c r="B299">
        <v>88</v>
      </c>
      <c r="C299" t="s">
        <v>20</v>
      </c>
      <c r="D299">
        <v>21</v>
      </c>
      <c r="E299" t="s">
        <v>30</v>
      </c>
      <c r="F299">
        <v>1848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1</v>
      </c>
      <c r="P299">
        <v>0</v>
      </c>
      <c r="Q299">
        <v>10</v>
      </c>
      <c r="R299">
        <v>2023</v>
      </c>
      <c r="S299" s="1">
        <v>45200</v>
      </c>
    </row>
    <row r="300" spans="1:19" x14ac:dyDescent="0.3">
      <c r="A300" t="s">
        <v>37</v>
      </c>
      <c r="B300">
        <v>100</v>
      </c>
      <c r="C300" t="s">
        <v>20</v>
      </c>
      <c r="D300">
        <v>21</v>
      </c>
      <c r="E300" t="s">
        <v>31</v>
      </c>
      <c r="F300">
        <v>2100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11</v>
      </c>
      <c r="R300">
        <v>2023</v>
      </c>
      <c r="S300" s="1">
        <v>45231</v>
      </c>
    </row>
    <row r="301" spans="1:19" x14ac:dyDescent="0.3">
      <c r="A301" t="s">
        <v>37</v>
      </c>
      <c r="B301">
        <v>118</v>
      </c>
      <c r="C301" t="s">
        <v>20</v>
      </c>
      <c r="D301">
        <v>21</v>
      </c>
      <c r="E301" t="s">
        <v>32</v>
      </c>
      <c r="F301">
        <v>2478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12</v>
      </c>
      <c r="R301">
        <v>2023</v>
      </c>
      <c r="S301" s="1">
        <v>45261</v>
      </c>
    </row>
    <row r="302" spans="1:19" x14ac:dyDescent="0.3">
      <c r="A302" t="s">
        <v>37</v>
      </c>
      <c r="B302">
        <v>130</v>
      </c>
      <c r="C302" t="s">
        <v>20</v>
      </c>
      <c r="D302">
        <v>29</v>
      </c>
      <c r="E302" t="s">
        <v>21</v>
      </c>
      <c r="F302">
        <v>3770</v>
      </c>
      <c r="G302">
        <v>0</v>
      </c>
      <c r="H302">
        <v>0</v>
      </c>
      <c r="I302">
        <v>0</v>
      </c>
      <c r="J302">
        <v>1</v>
      </c>
      <c r="K302">
        <v>1</v>
      </c>
      <c r="L302">
        <v>2.652519893899204E-4</v>
      </c>
      <c r="M302">
        <v>0.99973474801061013</v>
      </c>
      <c r="N302">
        <v>0</v>
      </c>
      <c r="O302">
        <v>1</v>
      </c>
      <c r="P302">
        <v>2.652519893899204E-4</v>
      </c>
      <c r="Q302">
        <v>1</v>
      </c>
      <c r="R302">
        <v>2024</v>
      </c>
      <c r="S302" s="1">
        <v>45292</v>
      </c>
    </row>
    <row r="303" spans="1:19" x14ac:dyDescent="0.3">
      <c r="A303" t="s">
        <v>37</v>
      </c>
      <c r="B303">
        <v>138</v>
      </c>
      <c r="C303" t="s">
        <v>20</v>
      </c>
      <c r="D303">
        <v>29</v>
      </c>
      <c r="E303" t="s">
        <v>22</v>
      </c>
      <c r="F303">
        <v>4002</v>
      </c>
      <c r="G303">
        <v>4</v>
      </c>
      <c r="H303">
        <v>0</v>
      </c>
      <c r="I303">
        <v>0</v>
      </c>
      <c r="J303">
        <v>0</v>
      </c>
      <c r="K303">
        <v>4</v>
      </c>
      <c r="L303">
        <v>9.9950024987506244E-4</v>
      </c>
      <c r="M303">
        <v>0.99900049975012495</v>
      </c>
      <c r="N303">
        <v>0</v>
      </c>
      <c r="O303">
        <v>1</v>
      </c>
      <c r="P303">
        <v>9.9950024987506244E-4</v>
      </c>
      <c r="Q303">
        <v>2</v>
      </c>
      <c r="R303">
        <v>2024</v>
      </c>
      <c r="S303" s="1">
        <v>45323</v>
      </c>
    </row>
    <row r="304" spans="1:19" x14ac:dyDescent="0.3">
      <c r="A304" t="s">
        <v>37</v>
      </c>
      <c r="B304">
        <v>137</v>
      </c>
      <c r="C304" t="s">
        <v>20</v>
      </c>
      <c r="D304">
        <v>31</v>
      </c>
      <c r="E304" t="s">
        <v>23</v>
      </c>
      <c r="F304">
        <v>4247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3</v>
      </c>
      <c r="R304">
        <v>2024</v>
      </c>
      <c r="S304" s="1">
        <v>45352</v>
      </c>
    </row>
    <row r="305" spans="1:19" x14ac:dyDescent="0.3">
      <c r="A305" t="s">
        <v>37</v>
      </c>
      <c r="B305">
        <v>136</v>
      </c>
      <c r="C305" t="s">
        <v>20</v>
      </c>
      <c r="D305">
        <v>30</v>
      </c>
      <c r="E305" t="s">
        <v>24</v>
      </c>
      <c r="F305">
        <v>4080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1</v>
      </c>
      <c r="P305">
        <v>0</v>
      </c>
      <c r="Q305">
        <v>4</v>
      </c>
      <c r="R305">
        <v>2024</v>
      </c>
      <c r="S305" s="1">
        <v>45383</v>
      </c>
    </row>
    <row r="306" spans="1:19" x14ac:dyDescent="0.3">
      <c r="A306" t="s">
        <v>37</v>
      </c>
      <c r="B306">
        <v>144</v>
      </c>
      <c r="C306" t="s">
        <v>20</v>
      </c>
      <c r="D306">
        <v>19</v>
      </c>
      <c r="E306" t="s">
        <v>25</v>
      </c>
      <c r="F306">
        <v>2736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1</v>
      </c>
      <c r="P306">
        <v>0</v>
      </c>
      <c r="Q306">
        <v>5</v>
      </c>
      <c r="R306">
        <v>2024</v>
      </c>
      <c r="S306" s="1">
        <v>45413</v>
      </c>
    </row>
    <row r="307" spans="1:19" x14ac:dyDescent="0.3">
      <c r="A307" t="s">
        <v>37</v>
      </c>
      <c r="B307">
        <v>122</v>
      </c>
      <c r="C307" t="s">
        <v>20</v>
      </c>
      <c r="D307">
        <v>15</v>
      </c>
      <c r="E307" t="s">
        <v>26</v>
      </c>
      <c r="F307">
        <v>1830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1</v>
      </c>
      <c r="P307">
        <v>0</v>
      </c>
      <c r="Q307">
        <v>6</v>
      </c>
      <c r="R307">
        <v>2024</v>
      </c>
      <c r="S307" s="1">
        <v>45444</v>
      </c>
    </row>
    <row r="308" spans="1:19" x14ac:dyDescent="0.3">
      <c r="A308" t="s">
        <v>37</v>
      </c>
      <c r="B308">
        <v>117</v>
      </c>
      <c r="C308" t="s">
        <v>20</v>
      </c>
      <c r="D308">
        <v>23</v>
      </c>
      <c r="E308" t="s">
        <v>27</v>
      </c>
      <c r="F308">
        <v>2691</v>
      </c>
      <c r="G308">
        <v>0</v>
      </c>
      <c r="H308">
        <v>2</v>
      </c>
      <c r="I308">
        <v>24</v>
      </c>
      <c r="J308">
        <v>0</v>
      </c>
      <c r="K308">
        <v>26</v>
      </c>
      <c r="L308">
        <v>9.6618357487922701E-3</v>
      </c>
      <c r="M308">
        <v>0.99033816425120769</v>
      </c>
      <c r="N308">
        <v>0</v>
      </c>
      <c r="O308">
        <v>1</v>
      </c>
      <c r="P308">
        <v>9.6618357487922701E-3</v>
      </c>
      <c r="Q308">
        <v>7</v>
      </c>
      <c r="R308">
        <v>2024</v>
      </c>
      <c r="S308" s="1">
        <v>45474</v>
      </c>
    </row>
    <row r="309" spans="1:19" x14ac:dyDescent="0.3">
      <c r="A309" t="s">
        <v>37</v>
      </c>
      <c r="B309">
        <v>118</v>
      </c>
      <c r="C309" t="s">
        <v>20</v>
      </c>
      <c r="D309">
        <v>22</v>
      </c>
      <c r="E309" t="s">
        <v>28</v>
      </c>
      <c r="F309">
        <v>2596</v>
      </c>
      <c r="G309">
        <v>0</v>
      </c>
      <c r="H309">
        <v>0</v>
      </c>
      <c r="I309">
        <v>17</v>
      </c>
      <c r="J309">
        <v>0</v>
      </c>
      <c r="K309">
        <v>17</v>
      </c>
      <c r="L309">
        <v>6.5485362095531584E-3</v>
      </c>
      <c r="M309">
        <v>0.9934514637904468</v>
      </c>
      <c r="N309">
        <v>0</v>
      </c>
      <c r="O309">
        <v>1</v>
      </c>
      <c r="P309">
        <v>6.5485362095531584E-3</v>
      </c>
      <c r="Q309">
        <v>8</v>
      </c>
      <c r="R309">
        <v>2024</v>
      </c>
      <c r="S309" s="1">
        <v>45505</v>
      </c>
    </row>
    <row r="310" spans="1:19" x14ac:dyDescent="0.3">
      <c r="A310" t="s">
        <v>37</v>
      </c>
      <c r="B310">
        <v>119</v>
      </c>
      <c r="C310" t="s">
        <v>20</v>
      </c>
      <c r="D310">
        <v>20</v>
      </c>
      <c r="E310" t="s">
        <v>29</v>
      </c>
      <c r="F310">
        <v>2380</v>
      </c>
      <c r="G310">
        <v>2</v>
      </c>
      <c r="H310">
        <v>0</v>
      </c>
      <c r="I310">
        <v>0</v>
      </c>
      <c r="J310">
        <v>0</v>
      </c>
      <c r="K310">
        <v>2</v>
      </c>
      <c r="L310">
        <v>8.4033613445378156E-4</v>
      </c>
      <c r="M310">
        <v>0.99915966386554622</v>
      </c>
      <c r="N310">
        <v>0</v>
      </c>
      <c r="O310">
        <v>1</v>
      </c>
      <c r="P310">
        <v>8.4033613445378156E-4</v>
      </c>
      <c r="Q310">
        <v>9</v>
      </c>
      <c r="R310">
        <v>2024</v>
      </c>
      <c r="S310" s="1">
        <v>45536</v>
      </c>
    </row>
    <row r="311" spans="1:19" x14ac:dyDescent="0.3">
      <c r="A311" t="s">
        <v>37</v>
      </c>
      <c r="B311">
        <v>116</v>
      </c>
      <c r="C311" t="s">
        <v>20</v>
      </c>
      <c r="D311">
        <v>22</v>
      </c>
      <c r="E311" t="s">
        <v>30</v>
      </c>
      <c r="F311">
        <v>2552</v>
      </c>
      <c r="G311">
        <v>3</v>
      </c>
      <c r="H311">
        <v>0</v>
      </c>
      <c r="I311">
        <v>48</v>
      </c>
      <c r="J311">
        <v>0</v>
      </c>
      <c r="K311">
        <v>51</v>
      </c>
      <c r="L311">
        <v>1.9984326018808778E-2</v>
      </c>
      <c r="M311">
        <v>0.98001567398119127</v>
      </c>
      <c r="N311">
        <v>0</v>
      </c>
      <c r="O311">
        <v>1</v>
      </c>
      <c r="P311">
        <v>1.9984326018808778E-2</v>
      </c>
      <c r="Q311">
        <v>10</v>
      </c>
      <c r="R311">
        <v>2024</v>
      </c>
      <c r="S311" s="1">
        <v>45566</v>
      </c>
    </row>
    <row r="312" spans="1:19" x14ac:dyDescent="0.3">
      <c r="A312" t="s">
        <v>37</v>
      </c>
      <c r="B312">
        <v>121</v>
      </c>
      <c r="C312" t="s">
        <v>20</v>
      </c>
      <c r="D312">
        <v>20</v>
      </c>
      <c r="E312" t="s">
        <v>31</v>
      </c>
      <c r="F312">
        <v>2420</v>
      </c>
      <c r="G312">
        <v>1</v>
      </c>
      <c r="H312">
        <v>0</v>
      </c>
      <c r="I312">
        <v>21</v>
      </c>
      <c r="J312">
        <v>0</v>
      </c>
      <c r="K312">
        <v>22</v>
      </c>
      <c r="L312">
        <v>9.0909090909090905E-3</v>
      </c>
      <c r="M312">
        <v>0.99090909090909096</v>
      </c>
      <c r="N312">
        <v>0</v>
      </c>
      <c r="O312">
        <v>1</v>
      </c>
      <c r="P312">
        <v>9.0909090909090905E-3</v>
      </c>
      <c r="Q312">
        <v>11</v>
      </c>
      <c r="R312">
        <v>2024</v>
      </c>
      <c r="S312" s="1">
        <v>45597</v>
      </c>
    </row>
    <row r="313" spans="1:19" x14ac:dyDescent="0.3">
      <c r="A313" t="s">
        <v>37</v>
      </c>
      <c r="B313">
        <v>125</v>
      </c>
      <c r="C313" t="s">
        <v>20</v>
      </c>
      <c r="D313">
        <v>21</v>
      </c>
      <c r="E313" t="s">
        <v>32</v>
      </c>
      <c r="F313">
        <v>2625</v>
      </c>
      <c r="G313">
        <v>0</v>
      </c>
      <c r="H313">
        <v>0</v>
      </c>
      <c r="I313">
        <v>10</v>
      </c>
      <c r="J313">
        <v>0</v>
      </c>
      <c r="K313">
        <v>10</v>
      </c>
      <c r="L313">
        <v>3.8095238095238095E-3</v>
      </c>
      <c r="M313">
        <v>0.99619047619047618</v>
      </c>
      <c r="N313">
        <v>0</v>
      </c>
      <c r="O313">
        <v>1</v>
      </c>
      <c r="P313">
        <v>3.8095238095238095E-3</v>
      </c>
      <c r="Q313">
        <v>12</v>
      </c>
      <c r="R313">
        <v>2024</v>
      </c>
      <c r="S313" s="1">
        <v>45627</v>
      </c>
    </row>
    <row r="314" spans="1:19" x14ac:dyDescent="0.3">
      <c r="A314" t="s">
        <v>37</v>
      </c>
      <c r="B314">
        <v>140</v>
      </c>
      <c r="C314" t="s">
        <v>20</v>
      </c>
      <c r="D314">
        <v>29</v>
      </c>
      <c r="E314" t="s">
        <v>21</v>
      </c>
      <c r="F314">
        <v>4060</v>
      </c>
      <c r="G314">
        <v>3</v>
      </c>
      <c r="H314">
        <v>0</v>
      </c>
      <c r="I314">
        <v>12</v>
      </c>
      <c r="J314">
        <v>0</v>
      </c>
      <c r="K314">
        <v>15</v>
      </c>
      <c r="L314">
        <v>3.6945812807881772E-3</v>
      </c>
      <c r="M314">
        <v>0.99630541871921185</v>
      </c>
      <c r="N314">
        <v>7.3400000000000007E-2</v>
      </c>
      <c r="O314">
        <v>0.92659999999999998</v>
      </c>
      <c r="P314">
        <v>-6.9705418719211834E-2</v>
      </c>
      <c r="Q314">
        <v>1</v>
      </c>
      <c r="R314">
        <v>2025</v>
      </c>
      <c r="S314" s="1">
        <v>45658</v>
      </c>
    </row>
    <row r="315" spans="1:19" x14ac:dyDescent="0.3">
      <c r="A315" t="s">
        <v>37</v>
      </c>
      <c r="B315">
        <v>146</v>
      </c>
      <c r="C315" t="s">
        <v>20</v>
      </c>
      <c r="D315">
        <v>28</v>
      </c>
      <c r="E315" t="s">
        <v>22</v>
      </c>
      <c r="F315">
        <v>4088</v>
      </c>
      <c r="G315">
        <v>2</v>
      </c>
      <c r="H315">
        <v>0</v>
      </c>
      <c r="I315">
        <v>28</v>
      </c>
      <c r="J315">
        <v>0</v>
      </c>
      <c r="K315">
        <v>30</v>
      </c>
      <c r="L315">
        <v>7.3385518590998039E-3</v>
      </c>
      <c r="M315">
        <v>0.99266144814090018</v>
      </c>
      <c r="N315">
        <v>8.7400000000000005E-2</v>
      </c>
      <c r="O315">
        <v>0.91259999999999997</v>
      </c>
      <c r="P315">
        <v>-8.0061448140900202E-2</v>
      </c>
      <c r="Q315">
        <v>2</v>
      </c>
      <c r="R315">
        <v>2025</v>
      </c>
      <c r="S315" s="1">
        <v>45689</v>
      </c>
    </row>
    <row r="316" spans="1:19" x14ac:dyDescent="0.3">
      <c r="A316" t="s">
        <v>37</v>
      </c>
      <c r="B316">
        <v>145</v>
      </c>
      <c r="C316" t="s">
        <v>20</v>
      </c>
      <c r="D316">
        <v>31</v>
      </c>
      <c r="E316" t="s">
        <v>23</v>
      </c>
      <c r="F316">
        <v>4495</v>
      </c>
      <c r="G316">
        <v>4</v>
      </c>
      <c r="H316">
        <v>5</v>
      </c>
      <c r="I316">
        <v>25</v>
      </c>
      <c r="J316">
        <v>0</v>
      </c>
      <c r="K316">
        <v>34</v>
      </c>
      <c r="L316">
        <v>7.5639599555061181E-3</v>
      </c>
      <c r="M316">
        <v>0.99243604004449393</v>
      </c>
      <c r="N316">
        <v>9.2100000000000001E-2</v>
      </c>
      <c r="O316">
        <v>0.90790000000000004</v>
      </c>
      <c r="P316">
        <v>-8.4536040044493888E-2</v>
      </c>
      <c r="Q316">
        <v>3</v>
      </c>
      <c r="R316">
        <v>2025</v>
      </c>
      <c r="S316" s="1">
        <v>45717</v>
      </c>
    </row>
    <row r="317" spans="1:19" x14ac:dyDescent="0.3">
      <c r="A317" t="s">
        <v>37</v>
      </c>
      <c r="B317">
        <v>145</v>
      </c>
      <c r="C317" t="s">
        <v>20</v>
      </c>
      <c r="D317">
        <v>22</v>
      </c>
      <c r="E317" t="s">
        <v>24</v>
      </c>
      <c r="F317">
        <v>3190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</v>
      </c>
      <c r="N317">
        <v>0.1187</v>
      </c>
      <c r="O317">
        <v>0.88129999999999997</v>
      </c>
      <c r="P317">
        <v>-0.1187</v>
      </c>
      <c r="Q317">
        <v>4</v>
      </c>
      <c r="R317">
        <v>2025</v>
      </c>
      <c r="S317" s="1">
        <v>45748</v>
      </c>
    </row>
    <row r="318" spans="1:19" x14ac:dyDescent="0.3">
      <c r="A318" t="s">
        <v>37</v>
      </c>
      <c r="B318">
        <v>120</v>
      </c>
      <c r="C318" t="s">
        <v>20</v>
      </c>
      <c r="D318">
        <v>22</v>
      </c>
      <c r="E318" t="s">
        <v>25</v>
      </c>
      <c r="F318">
        <v>2640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1</v>
      </c>
      <c r="N318">
        <v>0.1091</v>
      </c>
      <c r="O318">
        <v>0.89090000000000003</v>
      </c>
      <c r="P318">
        <v>-0.1091</v>
      </c>
      <c r="Q318">
        <v>5</v>
      </c>
      <c r="R318">
        <v>2025</v>
      </c>
      <c r="S318" s="1">
        <v>45778</v>
      </c>
    </row>
    <row r="319" spans="1:19" x14ac:dyDescent="0.3">
      <c r="A319" t="s">
        <v>37</v>
      </c>
      <c r="B319">
        <v>120</v>
      </c>
      <c r="C319" t="s">
        <v>20</v>
      </c>
      <c r="D319">
        <v>21</v>
      </c>
      <c r="E319" t="s">
        <v>26</v>
      </c>
      <c r="F319">
        <v>2520</v>
      </c>
      <c r="G319">
        <v>0</v>
      </c>
      <c r="H319">
        <v>21</v>
      </c>
      <c r="I319">
        <v>0</v>
      </c>
      <c r="J319">
        <v>0</v>
      </c>
      <c r="K319">
        <v>21</v>
      </c>
      <c r="L319">
        <v>8.3333333333333332E-3</v>
      </c>
      <c r="M319">
        <v>0.9916666666666667</v>
      </c>
      <c r="N319">
        <v>0.1149</v>
      </c>
      <c r="O319">
        <v>0.8851</v>
      </c>
      <c r="P319">
        <v>-0.10656666666666667</v>
      </c>
      <c r="Q319">
        <v>6</v>
      </c>
      <c r="R319">
        <v>2025</v>
      </c>
      <c r="S319" s="1">
        <v>45809</v>
      </c>
    </row>
    <row r="320" spans="1:19" x14ac:dyDescent="0.3">
      <c r="A320" t="s">
        <v>37</v>
      </c>
      <c r="B320">
        <v>121</v>
      </c>
      <c r="C320" t="s">
        <v>20</v>
      </c>
      <c r="D320">
        <v>23</v>
      </c>
      <c r="E320" t="s">
        <v>27</v>
      </c>
      <c r="F320">
        <v>2783</v>
      </c>
      <c r="G320">
        <v>2</v>
      </c>
      <c r="H320">
        <v>23</v>
      </c>
      <c r="I320">
        <v>0</v>
      </c>
      <c r="J320">
        <v>0</v>
      </c>
      <c r="K320">
        <v>25</v>
      </c>
      <c r="L320">
        <v>8.9831117499101689E-3</v>
      </c>
      <c r="M320">
        <v>0.99101688825008982</v>
      </c>
      <c r="N320">
        <v>5.8900000000000001E-2</v>
      </c>
      <c r="O320">
        <v>0.94110000000000005</v>
      </c>
      <c r="P320">
        <v>-4.991688825008983E-2</v>
      </c>
      <c r="Q320">
        <v>7</v>
      </c>
      <c r="R320">
        <v>2025</v>
      </c>
      <c r="S320" s="1">
        <v>45839</v>
      </c>
    </row>
    <row r="321" spans="1:19" x14ac:dyDescent="0.3">
      <c r="A321" t="s">
        <v>37</v>
      </c>
      <c r="B321">
        <v>119</v>
      </c>
      <c r="C321" t="s">
        <v>20</v>
      </c>
      <c r="D321">
        <v>21</v>
      </c>
      <c r="E321" t="s">
        <v>28</v>
      </c>
      <c r="F321">
        <v>2499</v>
      </c>
      <c r="G321">
        <v>0</v>
      </c>
      <c r="H321">
        <v>21</v>
      </c>
      <c r="I321">
        <v>0</v>
      </c>
      <c r="J321">
        <v>0</v>
      </c>
      <c r="K321">
        <v>21</v>
      </c>
      <c r="L321">
        <v>8.4033613445378148E-3</v>
      </c>
      <c r="M321">
        <v>0.99159663865546221</v>
      </c>
      <c r="N321">
        <v>7.9799999999999996E-2</v>
      </c>
      <c r="O321">
        <v>0.92020000000000002</v>
      </c>
      <c r="P321">
        <v>-7.1396638655462183E-2</v>
      </c>
      <c r="Q321">
        <v>8</v>
      </c>
      <c r="R321">
        <v>2025</v>
      </c>
      <c r="S321" s="1">
        <v>45870</v>
      </c>
    </row>
    <row r="322" spans="1:19" x14ac:dyDescent="0.3">
      <c r="A322" t="s">
        <v>37</v>
      </c>
      <c r="B322">
        <v>114</v>
      </c>
      <c r="C322" t="s">
        <v>20</v>
      </c>
      <c r="D322">
        <v>21</v>
      </c>
      <c r="E322" t="s">
        <v>29</v>
      </c>
      <c r="F322">
        <v>2394</v>
      </c>
      <c r="G322">
        <v>2</v>
      </c>
      <c r="H322">
        <v>12</v>
      </c>
      <c r="I322">
        <v>0</v>
      </c>
      <c r="J322">
        <v>0</v>
      </c>
      <c r="K322">
        <v>14</v>
      </c>
      <c r="L322">
        <v>5.8479532163742687E-3</v>
      </c>
      <c r="M322">
        <v>0.99415204678362579</v>
      </c>
      <c r="N322">
        <v>7.6399999999999996E-2</v>
      </c>
      <c r="O322">
        <v>0.92359999999999998</v>
      </c>
      <c r="P322">
        <v>-7.0552046783625727E-2</v>
      </c>
      <c r="Q322">
        <v>9</v>
      </c>
      <c r="R322">
        <v>2025</v>
      </c>
      <c r="S322" s="1">
        <v>45901</v>
      </c>
    </row>
    <row r="323" spans="1:19" x14ac:dyDescent="0.3">
      <c r="A323" t="s">
        <v>37</v>
      </c>
      <c r="B323">
        <v>121</v>
      </c>
      <c r="C323" t="s">
        <v>20</v>
      </c>
      <c r="D323">
        <v>23</v>
      </c>
      <c r="E323" t="s">
        <v>30</v>
      </c>
      <c r="F323">
        <v>2783</v>
      </c>
      <c r="G323">
        <v>2</v>
      </c>
      <c r="H323">
        <v>0</v>
      </c>
      <c r="I323">
        <v>0</v>
      </c>
      <c r="J323">
        <v>0</v>
      </c>
      <c r="K323">
        <v>2</v>
      </c>
      <c r="L323">
        <v>7.1864893999281352E-4</v>
      </c>
      <c r="M323">
        <v>0.99928135106000715</v>
      </c>
      <c r="N323">
        <v>8.4900000000000003E-2</v>
      </c>
      <c r="O323">
        <v>0.91510000000000002</v>
      </c>
      <c r="P323">
        <v>-8.4181351060007195E-2</v>
      </c>
      <c r="Q323">
        <v>10</v>
      </c>
      <c r="R323">
        <v>2025</v>
      </c>
      <c r="S323" s="1">
        <v>45931</v>
      </c>
    </row>
    <row r="324" spans="1:19" x14ac:dyDescent="0.3">
      <c r="A324" t="s">
        <v>37</v>
      </c>
      <c r="B324">
        <v>285</v>
      </c>
      <c r="C324" t="s">
        <v>34</v>
      </c>
      <c r="D324">
        <v>26</v>
      </c>
      <c r="E324" t="s">
        <v>21</v>
      </c>
      <c r="F324">
        <v>7410</v>
      </c>
      <c r="G324">
        <v>874</v>
      </c>
      <c r="H324">
        <v>46</v>
      </c>
      <c r="I324">
        <v>56</v>
      </c>
      <c r="J324">
        <v>0</v>
      </c>
      <c r="K324">
        <v>976</v>
      </c>
      <c r="L324">
        <v>0.13171390013495277</v>
      </c>
      <c r="M324">
        <v>0.86828609986504723</v>
      </c>
      <c r="N324">
        <v>0</v>
      </c>
      <c r="O324">
        <v>1</v>
      </c>
      <c r="P324">
        <v>0.13171390013495277</v>
      </c>
      <c r="Q324">
        <v>1</v>
      </c>
      <c r="R324">
        <v>2023</v>
      </c>
      <c r="S324" s="1">
        <v>44927</v>
      </c>
    </row>
    <row r="325" spans="1:19" x14ac:dyDescent="0.3">
      <c r="A325" t="s">
        <v>37</v>
      </c>
      <c r="B325">
        <v>285</v>
      </c>
      <c r="C325" t="s">
        <v>34</v>
      </c>
      <c r="D325">
        <v>24</v>
      </c>
      <c r="E325" t="s">
        <v>22</v>
      </c>
      <c r="F325">
        <v>6840</v>
      </c>
      <c r="G325">
        <v>774</v>
      </c>
      <c r="H325">
        <v>10</v>
      </c>
      <c r="I325">
        <v>69</v>
      </c>
      <c r="J325">
        <v>41</v>
      </c>
      <c r="K325">
        <v>894</v>
      </c>
      <c r="L325">
        <v>0.1307017543859649</v>
      </c>
      <c r="M325">
        <v>0.86929824561403513</v>
      </c>
      <c r="N325">
        <v>0</v>
      </c>
      <c r="O325">
        <v>1</v>
      </c>
      <c r="P325">
        <v>0.1307017543859649</v>
      </c>
      <c r="Q325">
        <v>2</v>
      </c>
      <c r="R325">
        <v>2023</v>
      </c>
      <c r="S325" s="1">
        <v>44958</v>
      </c>
    </row>
    <row r="326" spans="1:19" x14ac:dyDescent="0.3">
      <c r="A326" t="s">
        <v>37</v>
      </c>
      <c r="B326">
        <v>285</v>
      </c>
      <c r="C326" t="s">
        <v>34</v>
      </c>
      <c r="D326">
        <v>27</v>
      </c>
      <c r="E326" t="s">
        <v>23</v>
      </c>
      <c r="F326">
        <v>7695</v>
      </c>
      <c r="G326">
        <v>1003</v>
      </c>
      <c r="H326">
        <v>28</v>
      </c>
      <c r="I326">
        <v>67</v>
      </c>
      <c r="J326">
        <v>30</v>
      </c>
      <c r="K326">
        <v>1128</v>
      </c>
      <c r="L326">
        <v>0.14658869395711502</v>
      </c>
      <c r="M326">
        <v>0.85341130604288495</v>
      </c>
      <c r="N326">
        <v>0</v>
      </c>
      <c r="O326">
        <v>1</v>
      </c>
      <c r="P326">
        <v>0.14658869395711502</v>
      </c>
      <c r="Q326">
        <v>3</v>
      </c>
      <c r="R326">
        <v>2023</v>
      </c>
      <c r="S326" s="1">
        <v>44986</v>
      </c>
    </row>
    <row r="327" spans="1:19" x14ac:dyDescent="0.3">
      <c r="A327" t="s">
        <v>37</v>
      </c>
      <c r="B327">
        <v>285</v>
      </c>
      <c r="C327" t="s">
        <v>34</v>
      </c>
      <c r="D327">
        <v>25</v>
      </c>
      <c r="E327" t="s">
        <v>24</v>
      </c>
      <c r="F327">
        <v>7125</v>
      </c>
      <c r="G327">
        <v>1131</v>
      </c>
      <c r="H327">
        <v>29</v>
      </c>
      <c r="I327">
        <v>57</v>
      </c>
      <c r="J327">
        <v>18</v>
      </c>
      <c r="K327">
        <v>1235</v>
      </c>
      <c r="L327">
        <v>0.17333333333333334</v>
      </c>
      <c r="M327">
        <v>0.82666666666666666</v>
      </c>
      <c r="N327">
        <v>0</v>
      </c>
      <c r="O327">
        <v>1</v>
      </c>
      <c r="P327">
        <v>0.17333333333333334</v>
      </c>
      <c r="Q327">
        <v>4</v>
      </c>
      <c r="R327">
        <v>2023</v>
      </c>
      <c r="S327" s="1">
        <v>45017</v>
      </c>
    </row>
    <row r="328" spans="1:19" x14ac:dyDescent="0.3">
      <c r="A328" t="s">
        <v>37</v>
      </c>
      <c r="B328">
        <v>146</v>
      </c>
      <c r="C328" t="s">
        <v>34</v>
      </c>
      <c r="D328">
        <v>26</v>
      </c>
      <c r="E328" t="s">
        <v>25</v>
      </c>
      <c r="F328">
        <v>3796</v>
      </c>
      <c r="G328">
        <v>302</v>
      </c>
      <c r="H328">
        <v>2</v>
      </c>
      <c r="I328">
        <v>21</v>
      </c>
      <c r="J328">
        <v>0</v>
      </c>
      <c r="K328">
        <v>325</v>
      </c>
      <c r="L328">
        <v>8.5616438356164379E-2</v>
      </c>
      <c r="M328">
        <v>0.91438356164383561</v>
      </c>
      <c r="N328">
        <v>0</v>
      </c>
      <c r="O328">
        <v>1</v>
      </c>
      <c r="P328">
        <v>8.5616438356164379E-2</v>
      </c>
      <c r="Q328">
        <v>5</v>
      </c>
      <c r="R328">
        <v>2023</v>
      </c>
      <c r="S328" s="1">
        <v>45047</v>
      </c>
    </row>
    <row r="329" spans="1:19" x14ac:dyDescent="0.3">
      <c r="A329" t="s">
        <v>37</v>
      </c>
      <c r="B329">
        <v>146</v>
      </c>
      <c r="C329" t="s">
        <v>34</v>
      </c>
      <c r="D329">
        <v>22</v>
      </c>
      <c r="E329" t="s">
        <v>26</v>
      </c>
      <c r="F329">
        <v>3212</v>
      </c>
      <c r="G329">
        <v>402</v>
      </c>
      <c r="H329">
        <v>63</v>
      </c>
      <c r="I329">
        <v>42</v>
      </c>
      <c r="J329">
        <v>4</v>
      </c>
      <c r="K329">
        <v>511</v>
      </c>
      <c r="L329">
        <v>0.15909090909090909</v>
      </c>
      <c r="M329">
        <v>0.84090909090909094</v>
      </c>
      <c r="N329">
        <v>0</v>
      </c>
      <c r="O329">
        <v>1</v>
      </c>
      <c r="P329">
        <v>0.15909090909090909</v>
      </c>
      <c r="Q329">
        <v>6</v>
      </c>
      <c r="R329">
        <v>2023</v>
      </c>
      <c r="S329" s="1">
        <v>45078</v>
      </c>
    </row>
    <row r="330" spans="1:19" x14ac:dyDescent="0.3">
      <c r="A330" t="s">
        <v>37</v>
      </c>
      <c r="B330">
        <v>146</v>
      </c>
      <c r="C330" t="s">
        <v>34</v>
      </c>
      <c r="D330">
        <v>21</v>
      </c>
      <c r="E330" t="s">
        <v>27</v>
      </c>
      <c r="F330">
        <v>3066</v>
      </c>
      <c r="G330">
        <v>373</v>
      </c>
      <c r="H330">
        <v>6</v>
      </c>
      <c r="I330">
        <v>12</v>
      </c>
      <c r="J330">
        <v>60</v>
      </c>
      <c r="K330">
        <v>451</v>
      </c>
      <c r="L330">
        <v>0.14709719504240051</v>
      </c>
      <c r="M330">
        <v>0.85290280495759951</v>
      </c>
      <c r="N330">
        <v>0</v>
      </c>
      <c r="O330">
        <v>1</v>
      </c>
      <c r="P330">
        <v>0.14709719504240051</v>
      </c>
      <c r="Q330">
        <v>7</v>
      </c>
      <c r="R330">
        <v>2023</v>
      </c>
      <c r="S330" s="1">
        <v>45108</v>
      </c>
    </row>
    <row r="331" spans="1:19" x14ac:dyDescent="0.3">
      <c r="A331" t="s">
        <v>37</v>
      </c>
      <c r="B331">
        <v>146</v>
      </c>
      <c r="C331" t="s">
        <v>34</v>
      </c>
      <c r="D331">
        <v>23</v>
      </c>
      <c r="E331" t="s">
        <v>28</v>
      </c>
      <c r="F331">
        <v>3358</v>
      </c>
      <c r="G331">
        <v>265</v>
      </c>
      <c r="H331">
        <v>37</v>
      </c>
      <c r="I331">
        <v>17</v>
      </c>
      <c r="J331">
        <v>48</v>
      </c>
      <c r="K331">
        <v>367</v>
      </c>
      <c r="L331">
        <v>0.10929124478856463</v>
      </c>
      <c r="M331">
        <v>0.89070875521143533</v>
      </c>
      <c r="N331">
        <v>0</v>
      </c>
      <c r="O331">
        <v>1</v>
      </c>
      <c r="P331">
        <v>0.10929124478856463</v>
      </c>
      <c r="Q331">
        <v>8</v>
      </c>
      <c r="R331">
        <v>2023</v>
      </c>
      <c r="S331" s="1">
        <v>45139</v>
      </c>
    </row>
    <row r="332" spans="1:19" x14ac:dyDescent="0.3">
      <c r="A332" t="s">
        <v>37</v>
      </c>
      <c r="B332">
        <v>146</v>
      </c>
      <c r="C332" t="s">
        <v>34</v>
      </c>
      <c r="D332">
        <v>21</v>
      </c>
      <c r="E332" t="s">
        <v>29</v>
      </c>
      <c r="F332">
        <v>3066</v>
      </c>
      <c r="G332">
        <v>201</v>
      </c>
      <c r="H332">
        <v>11</v>
      </c>
      <c r="I332">
        <v>57</v>
      </c>
      <c r="J332">
        <v>32</v>
      </c>
      <c r="K332">
        <v>301</v>
      </c>
      <c r="L332">
        <v>9.8173515981735154E-2</v>
      </c>
      <c r="M332">
        <v>0.90182648401826482</v>
      </c>
      <c r="N332">
        <v>0</v>
      </c>
      <c r="O332">
        <v>1</v>
      </c>
      <c r="P332">
        <v>9.8173515981735154E-2</v>
      </c>
      <c r="Q332">
        <v>9</v>
      </c>
      <c r="R332">
        <v>2023</v>
      </c>
      <c r="S332" s="1">
        <v>45170</v>
      </c>
    </row>
    <row r="333" spans="1:19" x14ac:dyDescent="0.3">
      <c r="A333" t="s">
        <v>37</v>
      </c>
      <c r="B333">
        <v>146</v>
      </c>
      <c r="C333" t="s">
        <v>34</v>
      </c>
      <c r="D333">
        <v>21</v>
      </c>
      <c r="E333" t="s">
        <v>30</v>
      </c>
      <c r="F333">
        <v>3066</v>
      </c>
      <c r="G333">
        <v>202</v>
      </c>
      <c r="H333">
        <v>39</v>
      </c>
      <c r="I333">
        <v>52</v>
      </c>
      <c r="J333">
        <v>21</v>
      </c>
      <c r="K333">
        <v>314</v>
      </c>
      <c r="L333">
        <v>0.10241356816699282</v>
      </c>
      <c r="M333">
        <v>0.89758643183300713</v>
      </c>
      <c r="N333">
        <v>0</v>
      </c>
      <c r="O333">
        <v>1</v>
      </c>
      <c r="P333">
        <v>0.10241356816699282</v>
      </c>
      <c r="Q333">
        <v>10</v>
      </c>
      <c r="R333">
        <v>2023</v>
      </c>
      <c r="S333" s="1">
        <v>45200</v>
      </c>
    </row>
    <row r="334" spans="1:19" x14ac:dyDescent="0.3">
      <c r="A334" t="s">
        <v>37</v>
      </c>
      <c r="B334">
        <v>146</v>
      </c>
      <c r="C334" t="s">
        <v>34</v>
      </c>
      <c r="D334">
        <v>21</v>
      </c>
      <c r="E334" t="s">
        <v>31</v>
      </c>
      <c r="F334">
        <v>3066</v>
      </c>
      <c r="G334">
        <v>590</v>
      </c>
      <c r="H334">
        <v>14</v>
      </c>
      <c r="I334">
        <v>12</v>
      </c>
      <c r="J334">
        <v>12</v>
      </c>
      <c r="K334">
        <v>628</v>
      </c>
      <c r="L334">
        <v>0.20482713633398564</v>
      </c>
      <c r="M334">
        <v>0.79517286366601436</v>
      </c>
      <c r="N334">
        <v>0</v>
      </c>
      <c r="O334">
        <v>1</v>
      </c>
      <c r="P334">
        <v>0.20482713633398564</v>
      </c>
      <c r="Q334">
        <v>11</v>
      </c>
      <c r="R334">
        <v>2023</v>
      </c>
      <c r="S334" s="1">
        <v>45231</v>
      </c>
    </row>
    <row r="335" spans="1:19" x14ac:dyDescent="0.3">
      <c r="A335" t="s">
        <v>37</v>
      </c>
      <c r="B335">
        <v>146</v>
      </c>
      <c r="C335" t="s">
        <v>34</v>
      </c>
      <c r="D335">
        <v>21</v>
      </c>
      <c r="E335" t="s">
        <v>32</v>
      </c>
      <c r="F335">
        <v>3066</v>
      </c>
      <c r="G335">
        <v>229</v>
      </c>
      <c r="H335">
        <v>32</v>
      </c>
      <c r="I335">
        <v>9</v>
      </c>
      <c r="J335">
        <v>7</v>
      </c>
      <c r="K335">
        <v>277</v>
      </c>
      <c r="L335">
        <v>9.0345727332028697E-2</v>
      </c>
      <c r="M335">
        <v>0.90965427266797128</v>
      </c>
      <c r="N335">
        <v>0</v>
      </c>
      <c r="O335">
        <v>1</v>
      </c>
      <c r="P335">
        <v>9.0345727332028697E-2</v>
      </c>
      <c r="Q335">
        <v>12</v>
      </c>
      <c r="R335">
        <v>2023</v>
      </c>
      <c r="S335" s="1">
        <v>45261</v>
      </c>
    </row>
    <row r="336" spans="1:19" x14ac:dyDescent="0.3">
      <c r="A336" t="s">
        <v>37</v>
      </c>
      <c r="B336">
        <v>283</v>
      </c>
      <c r="C336" t="s">
        <v>34</v>
      </c>
      <c r="D336">
        <v>29</v>
      </c>
      <c r="E336" t="s">
        <v>21</v>
      </c>
      <c r="F336">
        <v>8207</v>
      </c>
      <c r="G336">
        <v>590</v>
      </c>
      <c r="H336">
        <v>14</v>
      </c>
      <c r="I336">
        <v>12</v>
      </c>
      <c r="J336">
        <v>12</v>
      </c>
      <c r="K336">
        <v>628</v>
      </c>
      <c r="L336">
        <v>7.6520043864993295E-2</v>
      </c>
      <c r="M336">
        <v>0.92347995613500666</v>
      </c>
      <c r="N336">
        <v>0</v>
      </c>
      <c r="O336">
        <v>1</v>
      </c>
      <c r="P336">
        <v>7.6520043864993295E-2</v>
      </c>
      <c r="Q336">
        <v>1</v>
      </c>
      <c r="R336">
        <v>2024</v>
      </c>
      <c r="S336" s="1">
        <v>45292</v>
      </c>
    </row>
    <row r="337" spans="1:19" x14ac:dyDescent="0.3">
      <c r="A337" t="s">
        <v>37</v>
      </c>
      <c r="B337">
        <v>283</v>
      </c>
      <c r="C337" t="s">
        <v>34</v>
      </c>
      <c r="D337">
        <v>29</v>
      </c>
      <c r="E337" t="s">
        <v>22</v>
      </c>
      <c r="F337">
        <v>8207</v>
      </c>
      <c r="G337">
        <v>623</v>
      </c>
      <c r="H337">
        <v>58</v>
      </c>
      <c r="I337">
        <v>49</v>
      </c>
      <c r="J337">
        <v>17</v>
      </c>
      <c r="K337">
        <v>747</v>
      </c>
      <c r="L337">
        <v>9.1019861094187887E-2</v>
      </c>
      <c r="M337">
        <v>0.90898013890581209</v>
      </c>
      <c r="N337">
        <v>0</v>
      </c>
      <c r="O337">
        <v>1</v>
      </c>
      <c r="P337">
        <v>9.1019861094187887E-2</v>
      </c>
      <c r="Q337">
        <v>2</v>
      </c>
      <c r="R337">
        <v>2024</v>
      </c>
      <c r="S337" s="1">
        <v>45323</v>
      </c>
    </row>
    <row r="338" spans="1:19" x14ac:dyDescent="0.3">
      <c r="A338" t="s">
        <v>37</v>
      </c>
      <c r="B338">
        <v>283</v>
      </c>
      <c r="C338" t="s">
        <v>34</v>
      </c>
      <c r="D338">
        <v>31</v>
      </c>
      <c r="E338" t="s">
        <v>23</v>
      </c>
      <c r="F338">
        <v>8773</v>
      </c>
      <c r="G338">
        <v>709</v>
      </c>
      <c r="H338">
        <v>57</v>
      </c>
      <c r="I338">
        <v>75</v>
      </c>
      <c r="J338">
        <v>1</v>
      </c>
      <c r="K338">
        <v>842</v>
      </c>
      <c r="L338">
        <v>9.5976290892511112E-2</v>
      </c>
      <c r="M338">
        <v>0.90402370910748886</v>
      </c>
      <c r="N338">
        <v>0</v>
      </c>
      <c r="O338">
        <v>1</v>
      </c>
      <c r="P338">
        <v>9.5976290892511112E-2</v>
      </c>
      <c r="Q338">
        <v>3</v>
      </c>
      <c r="R338">
        <v>2024</v>
      </c>
      <c r="S338" s="1">
        <v>45352</v>
      </c>
    </row>
    <row r="339" spans="1:19" x14ac:dyDescent="0.3">
      <c r="A339" t="s">
        <v>37</v>
      </c>
      <c r="B339">
        <v>283</v>
      </c>
      <c r="C339" t="s">
        <v>34</v>
      </c>
      <c r="D339">
        <v>30</v>
      </c>
      <c r="E339" t="s">
        <v>24</v>
      </c>
      <c r="F339">
        <v>8490</v>
      </c>
      <c r="G339">
        <v>873</v>
      </c>
      <c r="H339">
        <v>71</v>
      </c>
      <c r="I339">
        <v>61</v>
      </c>
      <c r="J339">
        <v>45</v>
      </c>
      <c r="K339">
        <v>1050</v>
      </c>
      <c r="L339">
        <v>0.12367491166077739</v>
      </c>
      <c r="M339">
        <v>0.87632508833922262</v>
      </c>
      <c r="N339">
        <v>0</v>
      </c>
      <c r="O339">
        <v>1</v>
      </c>
      <c r="P339">
        <v>0.12367491166077739</v>
      </c>
      <c r="Q339">
        <v>4</v>
      </c>
      <c r="R339">
        <v>2024</v>
      </c>
      <c r="S339" s="1">
        <v>45383</v>
      </c>
    </row>
    <row r="340" spans="1:19" x14ac:dyDescent="0.3">
      <c r="A340" t="s">
        <v>37</v>
      </c>
      <c r="B340">
        <v>283</v>
      </c>
      <c r="C340" t="s">
        <v>34</v>
      </c>
      <c r="D340">
        <v>19</v>
      </c>
      <c r="E340" t="s">
        <v>25</v>
      </c>
      <c r="F340">
        <v>5377</v>
      </c>
      <c r="G340">
        <v>567</v>
      </c>
      <c r="H340">
        <v>30</v>
      </c>
      <c r="I340">
        <v>12</v>
      </c>
      <c r="J340">
        <v>2</v>
      </c>
      <c r="K340">
        <v>611</v>
      </c>
      <c r="L340">
        <v>0.11363213687930072</v>
      </c>
      <c r="M340">
        <v>0.88636786312069926</v>
      </c>
      <c r="N340">
        <v>0</v>
      </c>
      <c r="O340">
        <v>1</v>
      </c>
      <c r="P340">
        <v>0.11363213687930072</v>
      </c>
      <c r="Q340">
        <v>5</v>
      </c>
      <c r="R340">
        <v>2024</v>
      </c>
      <c r="S340" s="1">
        <v>45413</v>
      </c>
    </row>
    <row r="341" spans="1:19" x14ac:dyDescent="0.3">
      <c r="A341" t="s">
        <v>37</v>
      </c>
      <c r="B341">
        <v>162</v>
      </c>
      <c r="C341" t="s">
        <v>34</v>
      </c>
      <c r="D341">
        <v>15</v>
      </c>
      <c r="E341" t="s">
        <v>26</v>
      </c>
      <c r="F341">
        <v>2430</v>
      </c>
      <c r="G341">
        <v>220</v>
      </c>
      <c r="H341">
        <v>59</v>
      </c>
      <c r="I341">
        <v>12</v>
      </c>
      <c r="J341">
        <v>0</v>
      </c>
      <c r="K341">
        <v>291</v>
      </c>
      <c r="L341">
        <v>0.11975308641975309</v>
      </c>
      <c r="M341">
        <v>0.88024691358024687</v>
      </c>
      <c r="N341">
        <v>0</v>
      </c>
      <c r="O341">
        <v>1</v>
      </c>
      <c r="P341">
        <v>0.11975308641975309</v>
      </c>
      <c r="Q341">
        <v>6</v>
      </c>
      <c r="R341">
        <v>2024</v>
      </c>
      <c r="S341" s="1">
        <v>45444</v>
      </c>
    </row>
    <row r="342" spans="1:19" x14ac:dyDescent="0.3">
      <c r="A342" t="s">
        <v>37</v>
      </c>
      <c r="B342">
        <v>158</v>
      </c>
      <c r="C342" t="s">
        <v>34</v>
      </c>
      <c r="D342">
        <v>23</v>
      </c>
      <c r="E342" t="s">
        <v>27</v>
      </c>
      <c r="F342">
        <v>3634</v>
      </c>
      <c r="G342">
        <v>119</v>
      </c>
      <c r="H342">
        <v>86</v>
      </c>
      <c r="I342">
        <v>18</v>
      </c>
      <c r="J342">
        <v>0</v>
      </c>
      <c r="K342">
        <v>223</v>
      </c>
      <c r="L342">
        <v>6.1364887176664835E-2</v>
      </c>
      <c r="M342">
        <v>0.93863511282333512</v>
      </c>
      <c r="N342">
        <v>0</v>
      </c>
      <c r="O342">
        <v>1</v>
      </c>
      <c r="P342">
        <v>6.1364887176664835E-2</v>
      </c>
      <c r="Q342">
        <v>7</v>
      </c>
      <c r="R342">
        <v>2024</v>
      </c>
      <c r="S342" s="1">
        <v>45474</v>
      </c>
    </row>
    <row r="343" spans="1:19" x14ac:dyDescent="0.3">
      <c r="A343" t="s">
        <v>37</v>
      </c>
      <c r="B343">
        <v>159</v>
      </c>
      <c r="C343" t="s">
        <v>34</v>
      </c>
      <c r="D343">
        <v>22</v>
      </c>
      <c r="E343" t="s">
        <v>28</v>
      </c>
      <c r="F343">
        <v>3498</v>
      </c>
      <c r="G343">
        <v>145</v>
      </c>
      <c r="H343">
        <v>124</v>
      </c>
      <c r="I343">
        <v>11</v>
      </c>
      <c r="J343">
        <v>11</v>
      </c>
      <c r="K343">
        <v>291</v>
      </c>
      <c r="L343">
        <v>8.3190394511149235E-2</v>
      </c>
      <c r="M343">
        <v>0.91680960548885082</v>
      </c>
      <c r="N343">
        <v>0</v>
      </c>
      <c r="O343">
        <v>1</v>
      </c>
      <c r="P343">
        <v>8.3190394511149235E-2</v>
      </c>
      <c r="Q343">
        <v>8</v>
      </c>
      <c r="R343">
        <v>2024</v>
      </c>
      <c r="S343" s="1">
        <v>45505</v>
      </c>
    </row>
    <row r="344" spans="1:19" x14ac:dyDescent="0.3">
      <c r="A344" t="s">
        <v>37</v>
      </c>
      <c r="B344">
        <v>169</v>
      </c>
      <c r="C344" t="s">
        <v>34</v>
      </c>
      <c r="D344">
        <v>20</v>
      </c>
      <c r="E344" t="s">
        <v>29</v>
      </c>
      <c r="F344">
        <v>3380</v>
      </c>
      <c r="G344">
        <v>105</v>
      </c>
      <c r="H344">
        <v>100</v>
      </c>
      <c r="I344">
        <v>43</v>
      </c>
      <c r="J344">
        <v>21</v>
      </c>
      <c r="K344">
        <v>269</v>
      </c>
      <c r="L344">
        <v>7.9585798816568049E-2</v>
      </c>
      <c r="M344">
        <v>0.92041420118343198</v>
      </c>
      <c r="N344">
        <v>0</v>
      </c>
      <c r="O344">
        <v>1</v>
      </c>
      <c r="P344">
        <v>7.9585798816568049E-2</v>
      </c>
      <c r="Q344">
        <v>9</v>
      </c>
      <c r="R344">
        <v>2024</v>
      </c>
      <c r="S344" s="1">
        <v>45536</v>
      </c>
    </row>
    <row r="345" spans="1:19" x14ac:dyDescent="0.3">
      <c r="A345" t="s">
        <v>37</v>
      </c>
      <c r="B345">
        <v>187</v>
      </c>
      <c r="C345" t="s">
        <v>34</v>
      </c>
      <c r="D345">
        <v>22</v>
      </c>
      <c r="E345" t="s">
        <v>30</v>
      </c>
      <c r="F345">
        <v>4114</v>
      </c>
      <c r="G345">
        <v>182</v>
      </c>
      <c r="H345">
        <v>84</v>
      </c>
      <c r="I345">
        <v>79</v>
      </c>
      <c r="J345">
        <v>19</v>
      </c>
      <c r="K345">
        <v>364</v>
      </c>
      <c r="L345">
        <v>8.8478366553232865E-2</v>
      </c>
      <c r="M345">
        <v>0.91152163344676718</v>
      </c>
      <c r="N345">
        <v>0</v>
      </c>
      <c r="O345">
        <v>1</v>
      </c>
      <c r="P345">
        <v>8.8478366553232865E-2</v>
      </c>
      <c r="Q345">
        <v>10</v>
      </c>
      <c r="R345">
        <v>2024</v>
      </c>
      <c r="S345" s="1">
        <v>45566</v>
      </c>
    </row>
    <row r="346" spans="1:19" x14ac:dyDescent="0.3">
      <c r="A346" t="s">
        <v>37</v>
      </c>
      <c r="B346">
        <v>195</v>
      </c>
      <c r="C346" t="s">
        <v>34</v>
      </c>
      <c r="D346">
        <v>20</v>
      </c>
      <c r="E346" t="s">
        <v>31</v>
      </c>
      <c r="F346">
        <v>3900</v>
      </c>
      <c r="G346">
        <v>195</v>
      </c>
      <c r="H346">
        <v>48</v>
      </c>
      <c r="I346">
        <v>24</v>
      </c>
      <c r="J346">
        <v>62</v>
      </c>
      <c r="K346">
        <v>329</v>
      </c>
      <c r="L346">
        <v>8.4358974358974353E-2</v>
      </c>
      <c r="M346">
        <v>0.91564102564102567</v>
      </c>
      <c r="N346">
        <v>0</v>
      </c>
      <c r="O346">
        <v>1</v>
      </c>
      <c r="P346">
        <v>8.4358974358974353E-2</v>
      </c>
      <c r="Q346">
        <v>11</v>
      </c>
      <c r="R346">
        <v>2024</v>
      </c>
      <c r="S346" s="1">
        <v>45597</v>
      </c>
    </row>
    <row r="347" spans="1:19" x14ac:dyDescent="0.3">
      <c r="A347" t="s">
        <v>37</v>
      </c>
      <c r="B347">
        <v>201</v>
      </c>
      <c r="C347" t="s">
        <v>34</v>
      </c>
      <c r="D347">
        <v>21</v>
      </c>
      <c r="E347" t="s">
        <v>32</v>
      </c>
      <c r="F347">
        <v>4221</v>
      </c>
      <c r="G347">
        <v>84</v>
      </c>
      <c r="H347">
        <v>12</v>
      </c>
      <c r="I347">
        <v>65</v>
      </c>
      <c r="J347">
        <v>101</v>
      </c>
      <c r="K347">
        <v>262</v>
      </c>
      <c r="L347">
        <v>6.207059938403222E-2</v>
      </c>
      <c r="M347">
        <v>0.93792940061596775</v>
      </c>
      <c r="N347">
        <v>0</v>
      </c>
      <c r="O347">
        <v>1</v>
      </c>
      <c r="P347">
        <v>6.207059938403222E-2</v>
      </c>
      <c r="Q347">
        <v>12</v>
      </c>
      <c r="R347">
        <v>2024</v>
      </c>
      <c r="S347" s="1">
        <v>45627</v>
      </c>
    </row>
    <row r="348" spans="1:19" x14ac:dyDescent="0.3">
      <c r="A348" t="s">
        <v>37</v>
      </c>
      <c r="B348">
        <v>284</v>
      </c>
      <c r="C348" t="s">
        <v>34</v>
      </c>
      <c r="D348">
        <v>29</v>
      </c>
      <c r="E348" t="s">
        <v>21</v>
      </c>
      <c r="F348">
        <v>8236</v>
      </c>
      <c r="G348">
        <v>391</v>
      </c>
      <c r="H348">
        <v>48</v>
      </c>
      <c r="I348">
        <v>66</v>
      </c>
      <c r="J348">
        <v>28</v>
      </c>
      <c r="K348">
        <v>533</v>
      </c>
      <c r="L348">
        <v>6.4715881495871777E-2</v>
      </c>
      <c r="M348">
        <v>0.93528411850412818</v>
      </c>
      <c r="N348">
        <v>7.3400000000000007E-2</v>
      </c>
      <c r="O348">
        <v>0.92659999999999998</v>
      </c>
      <c r="P348">
        <v>-8.6841185041282298E-3</v>
      </c>
      <c r="Q348">
        <v>1</v>
      </c>
      <c r="R348">
        <v>2025</v>
      </c>
      <c r="S348" s="1">
        <v>45658</v>
      </c>
    </row>
    <row r="349" spans="1:19" x14ac:dyDescent="0.3">
      <c r="A349" t="s">
        <v>37</v>
      </c>
      <c r="B349">
        <v>289</v>
      </c>
      <c r="C349" t="s">
        <v>34</v>
      </c>
      <c r="D349">
        <v>28</v>
      </c>
      <c r="E349" t="s">
        <v>22</v>
      </c>
      <c r="F349">
        <v>8092</v>
      </c>
      <c r="G349">
        <v>529</v>
      </c>
      <c r="H349">
        <v>57</v>
      </c>
      <c r="I349">
        <v>66</v>
      </c>
      <c r="J349">
        <v>34</v>
      </c>
      <c r="K349">
        <v>686</v>
      </c>
      <c r="L349">
        <v>8.4775086505190306E-2</v>
      </c>
      <c r="M349">
        <v>0.91522491349480972</v>
      </c>
      <c r="N349">
        <v>8.7400000000000005E-2</v>
      </c>
      <c r="O349">
        <v>0.91259999999999997</v>
      </c>
      <c r="P349">
        <v>-2.6249134948096997E-3</v>
      </c>
      <c r="Q349">
        <v>2</v>
      </c>
      <c r="R349">
        <v>2025</v>
      </c>
      <c r="S349" s="1">
        <v>45689</v>
      </c>
    </row>
    <row r="350" spans="1:19" x14ac:dyDescent="0.3">
      <c r="A350" t="s">
        <v>37</v>
      </c>
      <c r="B350">
        <v>289</v>
      </c>
      <c r="C350" t="s">
        <v>34</v>
      </c>
      <c r="D350">
        <v>31</v>
      </c>
      <c r="E350" t="s">
        <v>23</v>
      </c>
      <c r="F350">
        <v>8959</v>
      </c>
      <c r="G350">
        <v>485</v>
      </c>
      <c r="H350">
        <v>176</v>
      </c>
      <c r="I350">
        <v>58</v>
      </c>
      <c r="J350">
        <v>0</v>
      </c>
      <c r="K350">
        <v>719</v>
      </c>
      <c r="L350">
        <v>8.0254492688916171E-2</v>
      </c>
      <c r="M350">
        <v>0.91974550731108384</v>
      </c>
      <c r="N350">
        <v>9.2100000000000001E-2</v>
      </c>
      <c r="O350">
        <v>0.90790000000000004</v>
      </c>
      <c r="P350">
        <v>-1.184550731108383E-2</v>
      </c>
      <c r="Q350">
        <v>3</v>
      </c>
      <c r="R350">
        <v>2025</v>
      </c>
      <c r="S350" s="1">
        <v>45717</v>
      </c>
    </row>
    <row r="351" spans="1:19" x14ac:dyDescent="0.3">
      <c r="A351" t="s">
        <v>37</v>
      </c>
      <c r="B351">
        <v>289</v>
      </c>
      <c r="C351" t="s">
        <v>34</v>
      </c>
      <c r="D351">
        <v>26</v>
      </c>
      <c r="E351" t="s">
        <v>24</v>
      </c>
      <c r="F351">
        <v>7514</v>
      </c>
      <c r="G351">
        <v>433</v>
      </c>
      <c r="H351">
        <v>167</v>
      </c>
      <c r="I351">
        <v>100</v>
      </c>
      <c r="J351">
        <v>7</v>
      </c>
      <c r="K351">
        <v>707</v>
      </c>
      <c r="L351">
        <v>9.4091030077189247E-2</v>
      </c>
      <c r="M351">
        <v>0.90590896992281078</v>
      </c>
      <c r="N351">
        <v>0.1187</v>
      </c>
      <c r="O351">
        <v>0.88129999999999997</v>
      </c>
      <c r="P351">
        <v>-2.4608969922810753E-2</v>
      </c>
      <c r="Q351">
        <v>4</v>
      </c>
      <c r="R351">
        <v>2025</v>
      </c>
      <c r="S351" s="1">
        <v>45748</v>
      </c>
    </row>
    <row r="352" spans="1:19" x14ac:dyDescent="0.3">
      <c r="A352" t="s">
        <v>37</v>
      </c>
      <c r="B352">
        <v>123</v>
      </c>
      <c r="C352" t="s">
        <v>34</v>
      </c>
      <c r="D352">
        <v>9</v>
      </c>
      <c r="E352" t="s">
        <v>25</v>
      </c>
      <c r="F352">
        <v>1107</v>
      </c>
      <c r="G352">
        <v>47</v>
      </c>
      <c r="H352">
        <v>8</v>
      </c>
      <c r="I352">
        <v>8</v>
      </c>
      <c r="J352">
        <v>0</v>
      </c>
      <c r="K352">
        <v>63</v>
      </c>
      <c r="L352">
        <v>5.6910569105691054E-2</v>
      </c>
      <c r="M352">
        <v>0.94308943089430897</v>
      </c>
      <c r="N352">
        <v>0.1091</v>
      </c>
      <c r="O352">
        <v>0.89090000000000003</v>
      </c>
      <c r="P352">
        <v>-5.2189430894308948E-2</v>
      </c>
      <c r="Q352">
        <v>5</v>
      </c>
      <c r="R352">
        <v>2025</v>
      </c>
      <c r="S352" s="1">
        <v>45778</v>
      </c>
    </row>
    <row r="353" spans="1:19" x14ac:dyDescent="0.3">
      <c r="A353" t="s">
        <v>37</v>
      </c>
      <c r="B353">
        <v>147</v>
      </c>
      <c r="C353" t="s">
        <v>34</v>
      </c>
      <c r="D353">
        <v>21</v>
      </c>
      <c r="E353" t="s">
        <v>26</v>
      </c>
      <c r="F353">
        <v>3087</v>
      </c>
      <c r="G353">
        <v>183</v>
      </c>
      <c r="H353">
        <v>52</v>
      </c>
      <c r="I353">
        <v>0</v>
      </c>
      <c r="J353">
        <v>2</v>
      </c>
      <c r="K353">
        <v>237</v>
      </c>
      <c r="L353">
        <v>7.6773566569484933E-2</v>
      </c>
      <c r="M353">
        <v>0.92322643343051503</v>
      </c>
      <c r="N353">
        <v>0.1149</v>
      </c>
      <c r="O353">
        <v>0.8851</v>
      </c>
      <c r="P353">
        <v>-3.8126433430515069E-2</v>
      </c>
      <c r="Q353">
        <v>6</v>
      </c>
      <c r="R353">
        <v>2025</v>
      </c>
      <c r="S353" s="1">
        <v>45809</v>
      </c>
    </row>
    <row r="354" spans="1:19" x14ac:dyDescent="0.3">
      <c r="A354" t="s">
        <v>37</v>
      </c>
      <c r="B354">
        <v>146</v>
      </c>
      <c r="C354" t="s">
        <v>34</v>
      </c>
      <c r="D354">
        <v>23</v>
      </c>
      <c r="E354" t="s">
        <v>27</v>
      </c>
      <c r="F354">
        <v>3358</v>
      </c>
      <c r="G354">
        <v>263</v>
      </c>
      <c r="H354">
        <v>75</v>
      </c>
      <c r="I354">
        <v>12</v>
      </c>
      <c r="J354">
        <v>2</v>
      </c>
      <c r="K354">
        <v>352</v>
      </c>
      <c r="L354">
        <v>0.10482430017867779</v>
      </c>
      <c r="M354">
        <v>0.89517569982132217</v>
      </c>
      <c r="N354">
        <v>5.8900000000000001E-2</v>
      </c>
      <c r="O354">
        <v>0.94110000000000005</v>
      </c>
      <c r="P354">
        <v>4.5924300178677789E-2</v>
      </c>
      <c r="Q354">
        <v>7</v>
      </c>
      <c r="R354">
        <v>2025</v>
      </c>
      <c r="S354" s="1">
        <v>45839</v>
      </c>
    </row>
    <row r="355" spans="1:19" x14ac:dyDescent="0.3">
      <c r="A355" t="s">
        <v>37</v>
      </c>
      <c r="B355">
        <v>146</v>
      </c>
      <c r="C355" t="s">
        <v>34</v>
      </c>
      <c r="D355">
        <v>21</v>
      </c>
      <c r="E355" t="s">
        <v>28</v>
      </c>
      <c r="F355">
        <v>3066</v>
      </c>
      <c r="G355">
        <v>190</v>
      </c>
      <c r="H355">
        <v>45</v>
      </c>
      <c r="I355">
        <v>52</v>
      </c>
      <c r="J355">
        <v>0</v>
      </c>
      <c r="K355">
        <v>287</v>
      </c>
      <c r="L355">
        <v>9.3607305936073054E-2</v>
      </c>
      <c r="M355">
        <v>0.90639269406392697</v>
      </c>
      <c r="N355">
        <v>7.9799999999999996E-2</v>
      </c>
      <c r="O355">
        <v>0.92020000000000002</v>
      </c>
      <c r="P355">
        <v>1.3807305936073058E-2</v>
      </c>
      <c r="Q355">
        <v>8</v>
      </c>
      <c r="R355">
        <v>2025</v>
      </c>
      <c r="S355" s="1">
        <v>45870</v>
      </c>
    </row>
    <row r="356" spans="1:19" x14ac:dyDescent="0.3">
      <c r="A356" t="s">
        <v>37</v>
      </c>
      <c r="B356">
        <v>146</v>
      </c>
      <c r="C356" t="s">
        <v>34</v>
      </c>
      <c r="D356">
        <v>21</v>
      </c>
      <c r="E356" t="s">
        <v>29</v>
      </c>
      <c r="F356">
        <v>3066</v>
      </c>
      <c r="G356">
        <v>88</v>
      </c>
      <c r="H356">
        <v>27</v>
      </c>
      <c r="I356">
        <v>73</v>
      </c>
      <c r="J356">
        <v>40</v>
      </c>
      <c r="K356">
        <v>228</v>
      </c>
      <c r="L356">
        <v>7.4363992172211346E-2</v>
      </c>
      <c r="M356">
        <v>0.92563600782778865</v>
      </c>
      <c r="N356">
        <v>7.6399999999999996E-2</v>
      </c>
      <c r="O356">
        <v>0.92359999999999998</v>
      </c>
      <c r="P356">
        <v>-2.0360078277886495E-3</v>
      </c>
      <c r="Q356">
        <v>9</v>
      </c>
      <c r="R356">
        <v>2025</v>
      </c>
      <c r="S356" s="1">
        <v>45901</v>
      </c>
    </row>
    <row r="357" spans="1:19" x14ac:dyDescent="0.3">
      <c r="A357" t="s">
        <v>37</v>
      </c>
      <c r="B357">
        <v>146</v>
      </c>
      <c r="C357" t="s">
        <v>34</v>
      </c>
      <c r="D357">
        <v>23</v>
      </c>
      <c r="E357" t="s">
        <v>30</v>
      </c>
      <c r="F357">
        <v>3358</v>
      </c>
      <c r="G357">
        <v>101</v>
      </c>
      <c r="H357">
        <v>14</v>
      </c>
      <c r="I357">
        <v>38</v>
      </c>
      <c r="J357">
        <v>28</v>
      </c>
      <c r="K357">
        <v>181</v>
      </c>
      <c r="L357">
        <v>5.3901131625967838E-2</v>
      </c>
      <c r="M357">
        <v>0.94609886837403212</v>
      </c>
      <c r="N357">
        <v>8.4900000000000003E-2</v>
      </c>
      <c r="O357">
        <v>0.91510000000000002</v>
      </c>
      <c r="P357">
        <v>-3.0998868374032165E-2</v>
      </c>
      <c r="Q357">
        <v>10</v>
      </c>
      <c r="R357">
        <v>2025</v>
      </c>
      <c r="S357" s="1">
        <v>45931</v>
      </c>
    </row>
    <row r="358" spans="1:19" x14ac:dyDescent="0.3">
      <c r="A358" t="s">
        <v>37</v>
      </c>
      <c r="B358">
        <v>146</v>
      </c>
      <c r="C358" t="s">
        <v>34</v>
      </c>
      <c r="D358">
        <v>19</v>
      </c>
      <c r="E358" t="s">
        <v>31</v>
      </c>
      <c r="F358">
        <v>2774</v>
      </c>
      <c r="G358">
        <v>123</v>
      </c>
      <c r="H358">
        <v>17</v>
      </c>
      <c r="I358">
        <v>9</v>
      </c>
      <c r="J358">
        <v>10</v>
      </c>
      <c r="K358">
        <v>159</v>
      </c>
      <c r="L358">
        <v>5.7317952415284784E-2</v>
      </c>
      <c r="M358">
        <v>0.94268204758471519</v>
      </c>
      <c r="N358">
        <v>6.4799999999999996E-2</v>
      </c>
      <c r="O358">
        <v>0.93520000000000003</v>
      </c>
      <c r="P358">
        <v>-7.4820475847152124E-3</v>
      </c>
      <c r="Q358">
        <v>11</v>
      </c>
      <c r="R358">
        <v>2025</v>
      </c>
      <c r="S358" s="1">
        <v>45962</v>
      </c>
    </row>
    <row r="359" spans="1:19" x14ac:dyDescent="0.3">
      <c r="A359" t="s">
        <v>37</v>
      </c>
      <c r="B359">
        <v>121</v>
      </c>
      <c r="C359" t="s">
        <v>20</v>
      </c>
      <c r="D359">
        <v>19</v>
      </c>
      <c r="E359" t="s">
        <v>31</v>
      </c>
      <c r="F359">
        <v>2299</v>
      </c>
      <c r="G359">
        <v>4</v>
      </c>
      <c r="H359">
        <v>0</v>
      </c>
      <c r="I359">
        <v>0</v>
      </c>
      <c r="J359">
        <v>0</v>
      </c>
      <c r="K359">
        <v>4</v>
      </c>
      <c r="L359">
        <v>1.7398869073510222E-3</v>
      </c>
      <c r="M359">
        <v>0.99826011309264895</v>
      </c>
      <c r="N359">
        <v>6.4799999999999996E-2</v>
      </c>
      <c r="O359">
        <v>0.93520000000000003</v>
      </c>
      <c r="P359">
        <v>-6.3060113092648973E-2</v>
      </c>
      <c r="Q359">
        <v>11</v>
      </c>
      <c r="R359">
        <v>2025</v>
      </c>
      <c r="S359" s="1">
        <v>45962</v>
      </c>
    </row>
    <row r="360" spans="1:19" x14ac:dyDescent="0.3">
      <c r="A360" t="s">
        <v>37</v>
      </c>
      <c r="B360">
        <v>147</v>
      </c>
      <c r="C360" t="s">
        <v>34</v>
      </c>
      <c r="D360">
        <v>21</v>
      </c>
      <c r="E360" t="s">
        <v>32</v>
      </c>
      <c r="F360">
        <v>3087</v>
      </c>
      <c r="G360">
        <v>84</v>
      </c>
      <c r="H360">
        <v>12</v>
      </c>
      <c r="I360">
        <v>65</v>
      </c>
      <c r="J360">
        <v>101</v>
      </c>
      <c r="K360">
        <v>262</v>
      </c>
      <c r="L360">
        <v>8.4872044055717522E-2</v>
      </c>
      <c r="M360">
        <v>0.91512795594428242</v>
      </c>
      <c r="N360">
        <v>5.96E-2</v>
      </c>
      <c r="O360">
        <v>0.94040000000000001</v>
      </c>
      <c r="P360">
        <v>2.5272044055717521E-2</v>
      </c>
      <c r="Q360">
        <v>12</v>
      </c>
      <c r="R360">
        <v>2025</v>
      </c>
      <c r="S360" s="1">
        <v>45992</v>
      </c>
    </row>
    <row r="361" spans="1:19" x14ac:dyDescent="0.3">
      <c r="A361" t="s">
        <v>37</v>
      </c>
      <c r="B361">
        <v>179</v>
      </c>
      <c r="C361" t="s">
        <v>20</v>
      </c>
      <c r="D361">
        <v>21</v>
      </c>
      <c r="E361" t="s">
        <v>32</v>
      </c>
      <c r="F361">
        <v>3759</v>
      </c>
      <c r="G361">
        <v>0</v>
      </c>
      <c r="H361">
        <v>0</v>
      </c>
      <c r="I361">
        <v>10</v>
      </c>
      <c r="J361">
        <v>0</v>
      </c>
      <c r="K361">
        <v>10</v>
      </c>
      <c r="L361">
        <v>2.6602819898909284E-3</v>
      </c>
      <c r="M361">
        <v>0.99733971801010912</v>
      </c>
      <c r="N361">
        <v>5.96E-2</v>
      </c>
      <c r="O361">
        <v>0.94040000000000001</v>
      </c>
      <c r="P361">
        <v>-5.6939718010109074E-2</v>
      </c>
      <c r="Q361">
        <v>12</v>
      </c>
      <c r="R361">
        <v>2025</v>
      </c>
      <c r="S361" s="1">
        <v>45992</v>
      </c>
    </row>
    <row r="362" spans="1:19" x14ac:dyDescent="0.3">
      <c r="A362" t="s">
        <v>37</v>
      </c>
      <c r="B362">
        <v>289</v>
      </c>
      <c r="C362" t="s">
        <v>34</v>
      </c>
      <c r="D362">
        <v>27</v>
      </c>
      <c r="E362" t="s">
        <v>21</v>
      </c>
      <c r="F362">
        <v>7803</v>
      </c>
      <c r="G362">
        <v>248</v>
      </c>
      <c r="H362">
        <v>43</v>
      </c>
      <c r="I362">
        <v>41</v>
      </c>
      <c r="J362">
        <v>31</v>
      </c>
      <c r="K362">
        <v>363</v>
      </c>
      <c r="L362">
        <v>4.6520569011918492E-2</v>
      </c>
      <c r="M362">
        <v>0.95347943098808152</v>
      </c>
      <c r="N362">
        <v>6.4500000000000002E-2</v>
      </c>
      <c r="O362">
        <v>0.9355</v>
      </c>
      <c r="P362">
        <v>-1.797943098808151E-2</v>
      </c>
      <c r="Q362">
        <v>1</v>
      </c>
      <c r="R362">
        <v>2026</v>
      </c>
      <c r="S362" s="1">
        <v>46023</v>
      </c>
    </row>
    <row r="363" spans="1:19" x14ac:dyDescent="0.3">
      <c r="A363" t="s">
        <v>37</v>
      </c>
      <c r="B363">
        <v>143</v>
      </c>
      <c r="C363" t="s">
        <v>20</v>
      </c>
      <c r="D363">
        <v>27</v>
      </c>
      <c r="E363" t="s">
        <v>21</v>
      </c>
      <c r="F363">
        <v>3861</v>
      </c>
      <c r="G363">
        <v>0</v>
      </c>
      <c r="H363">
        <v>0</v>
      </c>
      <c r="I363">
        <v>27</v>
      </c>
      <c r="J363">
        <v>0</v>
      </c>
      <c r="K363">
        <v>27</v>
      </c>
      <c r="L363">
        <v>6.993006993006993E-3</v>
      </c>
      <c r="M363">
        <v>0.99300699300699302</v>
      </c>
      <c r="N363">
        <v>6.4500000000000002E-2</v>
      </c>
      <c r="O363">
        <v>0.9355</v>
      </c>
      <c r="P363">
        <v>-5.750699300699301E-2</v>
      </c>
      <c r="Q363">
        <v>1</v>
      </c>
      <c r="R363">
        <v>2026</v>
      </c>
      <c r="S363" s="1">
        <v>46023</v>
      </c>
    </row>
    <row r="364" spans="1:19" x14ac:dyDescent="0.3">
      <c r="A364" t="s">
        <v>37</v>
      </c>
      <c r="B364">
        <v>289</v>
      </c>
      <c r="C364" t="s">
        <v>34</v>
      </c>
      <c r="D364">
        <v>23</v>
      </c>
      <c r="E364" t="s">
        <v>22</v>
      </c>
      <c r="F364">
        <v>6647</v>
      </c>
      <c r="G364">
        <v>255</v>
      </c>
      <c r="H364">
        <v>65</v>
      </c>
      <c r="I364">
        <v>43</v>
      </c>
      <c r="J364">
        <v>64</v>
      </c>
      <c r="K364">
        <v>427</v>
      </c>
      <c r="L364">
        <v>6.42395065443057E-2</v>
      </c>
      <c r="M364">
        <v>0.93576049345569434</v>
      </c>
      <c r="N364">
        <v>8.4599999999999995E-2</v>
      </c>
      <c r="O364">
        <v>0.91539999999999999</v>
      </c>
      <c r="P364">
        <v>-2.0360493455694295E-2</v>
      </c>
      <c r="Q364">
        <v>2</v>
      </c>
      <c r="R364">
        <v>2026</v>
      </c>
      <c r="S364" s="1">
        <v>46054</v>
      </c>
    </row>
    <row r="365" spans="1:19" x14ac:dyDescent="0.3">
      <c r="A365" t="s">
        <v>37</v>
      </c>
      <c r="B365">
        <v>144</v>
      </c>
      <c r="C365" t="s">
        <v>20</v>
      </c>
      <c r="D365">
        <v>23</v>
      </c>
      <c r="E365" t="s">
        <v>22</v>
      </c>
      <c r="F365">
        <v>3312</v>
      </c>
      <c r="G365">
        <v>4</v>
      </c>
      <c r="H365">
        <v>0</v>
      </c>
      <c r="I365">
        <v>23</v>
      </c>
      <c r="J365">
        <v>20</v>
      </c>
      <c r="K365">
        <v>47</v>
      </c>
      <c r="L365">
        <v>1.4190821256038648E-2</v>
      </c>
      <c r="M365">
        <v>0.98580917874396135</v>
      </c>
      <c r="N365">
        <v>8.4599999999999995E-2</v>
      </c>
      <c r="O365">
        <v>0.91539999999999999</v>
      </c>
      <c r="P365">
        <v>-7.0409178743961354E-2</v>
      </c>
      <c r="Q365">
        <v>2</v>
      </c>
      <c r="R365">
        <v>2026</v>
      </c>
      <c r="S365" s="1">
        <v>46054</v>
      </c>
    </row>
    <row r="366" spans="1:19" x14ac:dyDescent="0.3">
      <c r="A366" t="s">
        <v>37</v>
      </c>
      <c r="B366">
        <v>289</v>
      </c>
      <c r="C366" t="s">
        <v>34</v>
      </c>
      <c r="D366">
        <v>25</v>
      </c>
      <c r="E366" t="s">
        <v>23</v>
      </c>
      <c r="F366">
        <v>7225</v>
      </c>
      <c r="G366">
        <v>310</v>
      </c>
      <c r="H366">
        <v>111</v>
      </c>
      <c r="I366">
        <v>79</v>
      </c>
      <c r="J366">
        <v>38</v>
      </c>
      <c r="K366">
        <v>538</v>
      </c>
      <c r="L366">
        <v>7.4463667820069204E-2</v>
      </c>
      <c r="M366">
        <v>0.92553633217993081</v>
      </c>
      <c r="N366">
        <v>0.08</v>
      </c>
      <c r="O366">
        <v>0.92</v>
      </c>
      <c r="P366">
        <v>-5.5363321799307974E-3</v>
      </c>
      <c r="Q366">
        <v>3</v>
      </c>
      <c r="R366">
        <v>2026</v>
      </c>
      <c r="S366" s="1">
        <v>46082</v>
      </c>
    </row>
    <row r="367" spans="1:19" x14ac:dyDescent="0.3">
      <c r="A367" t="s">
        <v>37</v>
      </c>
      <c r="B367">
        <v>145</v>
      </c>
      <c r="C367" t="s">
        <v>20</v>
      </c>
      <c r="D367">
        <v>25</v>
      </c>
      <c r="E367" t="s">
        <v>23</v>
      </c>
      <c r="F367">
        <v>3625</v>
      </c>
      <c r="G367">
        <v>0</v>
      </c>
      <c r="H367">
        <v>0</v>
      </c>
      <c r="I367">
        <v>51</v>
      </c>
      <c r="J367">
        <v>0</v>
      </c>
      <c r="K367">
        <v>51</v>
      </c>
      <c r="L367">
        <v>1.4068965517241379E-2</v>
      </c>
      <c r="M367">
        <v>0.98593103448275865</v>
      </c>
      <c r="N367">
        <v>0.08</v>
      </c>
      <c r="O367">
        <v>0.92</v>
      </c>
      <c r="P367">
        <v>-6.5931034482758624E-2</v>
      </c>
      <c r="Q367">
        <v>3</v>
      </c>
      <c r="R367">
        <v>2026</v>
      </c>
      <c r="S367" s="1">
        <v>46082</v>
      </c>
    </row>
    <row r="368" spans="1:19" x14ac:dyDescent="0.3">
      <c r="A368" t="s">
        <v>37</v>
      </c>
      <c r="B368">
        <v>289</v>
      </c>
      <c r="C368" t="s">
        <v>34</v>
      </c>
      <c r="D368">
        <v>26</v>
      </c>
      <c r="E368" t="s">
        <v>24</v>
      </c>
      <c r="F368">
        <v>7514</v>
      </c>
      <c r="G368">
        <v>255</v>
      </c>
      <c r="H368">
        <v>142</v>
      </c>
      <c r="I368">
        <v>22</v>
      </c>
      <c r="J368">
        <v>58</v>
      </c>
      <c r="K368">
        <v>477</v>
      </c>
      <c r="L368">
        <v>6.3481501197764176E-2</v>
      </c>
      <c r="M368">
        <v>0.93651849880223581</v>
      </c>
      <c r="N368">
        <v>9.3799999999999994E-2</v>
      </c>
      <c r="O368">
        <v>0.90620000000000001</v>
      </c>
      <c r="P368">
        <v>-3.0318498802235819E-2</v>
      </c>
      <c r="Q368">
        <v>4</v>
      </c>
      <c r="R368">
        <v>2026</v>
      </c>
      <c r="S368" s="1">
        <v>46113</v>
      </c>
    </row>
    <row r="369" spans="1:19" x14ac:dyDescent="0.3">
      <c r="A369" t="s">
        <v>37</v>
      </c>
      <c r="B369">
        <v>144</v>
      </c>
      <c r="C369" t="s">
        <v>20</v>
      </c>
      <c r="D369">
        <v>26</v>
      </c>
      <c r="E369" t="s">
        <v>24</v>
      </c>
      <c r="F369">
        <v>3744</v>
      </c>
      <c r="G369">
        <v>0</v>
      </c>
      <c r="H369">
        <v>2</v>
      </c>
      <c r="I369">
        <v>26</v>
      </c>
      <c r="J369">
        <v>26</v>
      </c>
      <c r="K369">
        <v>54</v>
      </c>
      <c r="L369">
        <v>1.4423076923076924E-2</v>
      </c>
      <c r="M369">
        <v>0.98557692307692313</v>
      </c>
      <c r="N369">
        <v>9.3799999999999994E-2</v>
      </c>
      <c r="O369">
        <v>0.90620000000000001</v>
      </c>
      <c r="P369">
        <v>-7.9376923076923067E-2</v>
      </c>
      <c r="Q369">
        <v>4</v>
      </c>
      <c r="R369">
        <v>2026</v>
      </c>
      <c r="S369" s="1">
        <v>46113</v>
      </c>
    </row>
    <row r="370" spans="1:19" x14ac:dyDescent="0.3">
      <c r="A370" t="s">
        <v>37</v>
      </c>
      <c r="C370" t="s">
        <v>34</v>
      </c>
      <c r="E370" t="s">
        <v>25</v>
      </c>
      <c r="N370">
        <v>5.6800000000000003E-2</v>
      </c>
      <c r="O370">
        <v>0.94320000000000004</v>
      </c>
      <c r="Q370">
        <v>5</v>
      </c>
      <c r="R370">
        <v>2026</v>
      </c>
      <c r="S370" s="1">
        <v>46143</v>
      </c>
    </row>
    <row r="371" spans="1:19" x14ac:dyDescent="0.3">
      <c r="A371" t="s">
        <v>37</v>
      </c>
      <c r="C371" t="s">
        <v>20</v>
      </c>
      <c r="E371" t="s">
        <v>25</v>
      </c>
      <c r="N371">
        <v>5.6800000000000003E-2</v>
      </c>
      <c r="O371">
        <v>0.94320000000000004</v>
      </c>
      <c r="Q371">
        <v>5</v>
      </c>
      <c r="R371">
        <v>2026</v>
      </c>
      <c r="S371" s="1">
        <v>46143</v>
      </c>
    </row>
    <row r="372" spans="1:19" x14ac:dyDescent="0.3">
      <c r="A372" t="s">
        <v>37</v>
      </c>
      <c r="C372" t="s">
        <v>34</v>
      </c>
      <c r="E372" t="s">
        <v>26</v>
      </c>
      <c r="N372">
        <v>7.6600000000000001E-2</v>
      </c>
      <c r="O372">
        <v>0.9234</v>
      </c>
      <c r="Q372">
        <v>6</v>
      </c>
      <c r="R372">
        <v>2026</v>
      </c>
      <c r="S372" s="1">
        <v>46174</v>
      </c>
    </row>
    <row r="373" spans="1:19" x14ac:dyDescent="0.3">
      <c r="A373" t="s">
        <v>37</v>
      </c>
      <c r="C373" t="s">
        <v>20</v>
      </c>
      <c r="E373" t="s">
        <v>26</v>
      </c>
      <c r="N373">
        <v>7.6600000000000001E-2</v>
      </c>
      <c r="O373">
        <v>0.9234</v>
      </c>
      <c r="Q373">
        <v>6</v>
      </c>
      <c r="R373">
        <v>2026</v>
      </c>
      <c r="S373" s="1">
        <v>46174</v>
      </c>
    </row>
    <row r="374" spans="1:19" x14ac:dyDescent="0.3">
      <c r="A374" t="s">
        <v>37</v>
      </c>
      <c r="C374" t="s">
        <v>34</v>
      </c>
      <c r="E374" t="s">
        <v>27</v>
      </c>
      <c r="N374">
        <v>0.1046</v>
      </c>
      <c r="O374">
        <v>0.89539999999999997</v>
      </c>
      <c r="Q374">
        <v>7</v>
      </c>
      <c r="R374">
        <v>2026</v>
      </c>
      <c r="S374" s="1">
        <v>46204</v>
      </c>
    </row>
    <row r="375" spans="1:19" x14ac:dyDescent="0.3">
      <c r="A375" t="s">
        <v>37</v>
      </c>
      <c r="C375" t="s">
        <v>20</v>
      </c>
      <c r="E375" t="s">
        <v>27</v>
      </c>
      <c r="N375">
        <v>0.1046</v>
      </c>
      <c r="O375">
        <v>0.89539999999999997</v>
      </c>
      <c r="Q375">
        <v>7</v>
      </c>
      <c r="R375">
        <v>2026</v>
      </c>
      <c r="S375" s="1">
        <v>46204</v>
      </c>
    </row>
    <row r="376" spans="1:19" x14ac:dyDescent="0.3">
      <c r="A376" t="s">
        <v>37</v>
      </c>
      <c r="C376" t="s">
        <v>34</v>
      </c>
      <c r="E376" t="s">
        <v>28</v>
      </c>
      <c r="N376">
        <v>9.3399999999999997E-2</v>
      </c>
      <c r="O376">
        <v>0.90659999999999996</v>
      </c>
      <c r="Q376">
        <v>8</v>
      </c>
      <c r="R376">
        <v>2026</v>
      </c>
      <c r="S376" s="1">
        <v>46235</v>
      </c>
    </row>
    <row r="377" spans="1:19" x14ac:dyDescent="0.3">
      <c r="A377" t="s">
        <v>37</v>
      </c>
      <c r="C377" t="s">
        <v>20</v>
      </c>
      <c r="E377" t="s">
        <v>28</v>
      </c>
      <c r="N377">
        <v>9.3399999999999997E-2</v>
      </c>
      <c r="O377">
        <v>0.90659999999999996</v>
      </c>
      <c r="Q377">
        <v>8</v>
      </c>
      <c r="R377">
        <v>2026</v>
      </c>
      <c r="S377" s="1">
        <v>46235</v>
      </c>
    </row>
    <row r="378" spans="1:19" x14ac:dyDescent="0.3">
      <c r="A378" t="s">
        <v>37</v>
      </c>
      <c r="C378" t="s">
        <v>34</v>
      </c>
      <c r="E378" t="s">
        <v>29</v>
      </c>
      <c r="N378">
        <v>7.4200000000000002E-2</v>
      </c>
      <c r="O378">
        <v>0.92579999999999996</v>
      </c>
      <c r="Q378">
        <v>9</v>
      </c>
      <c r="R378">
        <v>2026</v>
      </c>
      <c r="S378" s="1">
        <v>46266</v>
      </c>
    </row>
    <row r="379" spans="1:19" x14ac:dyDescent="0.3">
      <c r="A379" t="s">
        <v>37</v>
      </c>
      <c r="C379" t="s">
        <v>20</v>
      </c>
      <c r="E379" t="s">
        <v>29</v>
      </c>
      <c r="N379">
        <v>7.4200000000000002E-2</v>
      </c>
      <c r="O379">
        <v>0.92579999999999996</v>
      </c>
      <c r="Q379">
        <v>9</v>
      </c>
      <c r="R379">
        <v>2026</v>
      </c>
      <c r="S379" s="1">
        <v>46266</v>
      </c>
    </row>
    <row r="380" spans="1:19" x14ac:dyDescent="0.3">
      <c r="A380" t="s">
        <v>37</v>
      </c>
      <c r="C380" t="s">
        <v>34</v>
      </c>
      <c r="E380" t="s">
        <v>30</v>
      </c>
      <c r="N380">
        <v>5.3800000000000001E-2</v>
      </c>
      <c r="O380">
        <v>0.94620000000000004</v>
      </c>
      <c r="Q380">
        <v>10</v>
      </c>
      <c r="R380">
        <v>2026</v>
      </c>
      <c r="S380" s="1">
        <v>46296</v>
      </c>
    </row>
    <row r="381" spans="1:19" x14ac:dyDescent="0.3">
      <c r="A381" t="s">
        <v>37</v>
      </c>
      <c r="C381" t="s">
        <v>20</v>
      </c>
      <c r="E381" t="s">
        <v>30</v>
      </c>
      <c r="N381">
        <v>5.3800000000000001E-2</v>
      </c>
      <c r="O381">
        <v>0.94620000000000004</v>
      </c>
      <c r="Q381">
        <v>10</v>
      </c>
      <c r="R381">
        <v>2026</v>
      </c>
      <c r="S381" s="1">
        <v>46296</v>
      </c>
    </row>
    <row r="382" spans="1:19" x14ac:dyDescent="0.3">
      <c r="A382" t="s">
        <v>37</v>
      </c>
      <c r="C382" t="s">
        <v>34</v>
      </c>
      <c r="E382" t="s">
        <v>31</v>
      </c>
      <c r="N382">
        <v>5.7200000000000001E-2</v>
      </c>
      <c r="O382">
        <v>0.94279999999999997</v>
      </c>
      <c r="Q382">
        <v>11</v>
      </c>
      <c r="R382">
        <v>2026</v>
      </c>
      <c r="S382" s="1">
        <v>46327</v>
      </c>
    </row>
    <row r="383" spans="1:19" x14ac:dyDescent="0.3">
      <c r="A383" t="s">
        <v>37</v>
      </c>
      <c r="C383" t="s">
        <v>20</v>
      </c>
      <c r="E383" t="s">
        <v>31</v>
      </c>
      <c r="N383">
        <v>5.7200000000000001E-2</v>
      </c>
      <c r="O383">
        <v>0.94279999999999997</v>
      </c>
      <c r="Q383">
        <v>11</v>
      </c>
      <c r="R383">
        <v>2026</v>
      </c>
      <c r="S383" s="1">
        <v>46327</v>
      </c>
    </row>
    <row r="384" spans="1:19" x14ac:dyDescent="0.3">
      <c r="A384" t="s">
        <v>37</v>
      </c>
      <c r="C384" t="s">
        <v>34</v>
      </c>
      <c r="E384" t="s">
        <v>32</v>
      </c>
      <c r="N384">
        <v>8.4699999999999998E-2</v>
      </c>
      <c r="O384">
        <v>0.9153</v>
      </c>
      <c r="Q384">
        <v>12</v>
      </c>
      <c r="R384">
        <v>2026</v>
      </c>
      <c r="S384" s="1">
        <v>46357</v>
      </c>
    </row>
    <row r="385" spans="1:19" x14ac:dyDescent="0.3">
      <c r="A385" t="s">
        <v>37</v>
      </c>
      <c r="C385" t="s">
        <v>20</v>
      </c>
      <c r="E385" t="s">
        <v>32</v>
      </c>
      <c r="N385">
        <v>8.4699999999999998E-2</v>
      </c>
      <c r="O385">
        <v>0.9153</v>
      </c>
      <c r="Q385">
        <v>12</v>
      </c>
      <c r="R385">
        <v>2026</v>
      </c>
      <c r="S385" s="1">
        <v>46357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7190-B850-46A0-B27B-ECC773EEAC88}">
  <dimension ref="B2:AK55"/>
  <sheetViews>
    <sheetView topLeftCell="Z1" workbookViewId="0">
      <selection activeCell="AG2" sqref="AG2"/>
    </sheetView>
  </sheetViews>
  <sheetFormatPr baseColWidth="10" defaultRowHeight="14.4" x14ac:dyDescent="0.3"/>
  <cols>
    <col min="1" max="1" width="2.77734375" customWidth="1"/>
    <col min="2" max="2" width="15.44140625" bestFit="1" customWidth="1"/>
    <col min="3" max="3" width="28.5546875" bestFit="1" customWidth="1"/>
    <col min="4" max="4" width="15.5546875" bestFit="1" customWidth="1"/>
    <col min="5" max="5" width="10.21875" bestFit="1" customWidth="1"/>
    <col min="6" max="6" width="12.109375" bestFit="1" customWidth="1"/>
    <col min="7" max="7" width="11" bestFit="1" customWidth="1"/>
    <col min="8" max="8" width="10.88671875" bestFit="1" customWidth="1"/>
    <col min="9" max="9" width="17.21875" bestFit="1" customWidth="1"/>
    <col min="10" max="10" width="21" bestFit="1" customWidth="1"/>
    <col min="11" max="11" width="20.5546875" bestFit="1" customWidth="1"/>
    <col min="12" max="12" width="22.44140625" bestFit="1" customWidth="1"/>
    <col min="13" max="13" width="24.44140625" bestFit="1" customWidth="1"/>
    <col min="14" max="14" width="18" bestFit="1" customWidth="1"/>
    <col min="15" max="15" width="2.77734375" customWidth="1"/>
    <col min="16" max="16" width="16.5546875" bestFit="1" customWidth="1"/>
    <col min="17" max="17" width="10.21875" bestFit="1" customWidth="1"/>
    <col min="18" max="18" width="24.5546875" bestFit="1" customWidth="1"/>
    <col min="19" max="19" width="2.77734375" customWidth="1"/>
    <col min="20" max="20" width="16.5546875" bestFit="1" customWidth="1"/>
    <col min="21" max="21" width="24.44140625" bestFit="1" customWidth="1"/>
    <col min="22" max="22" width="24.109375" bestFit="1" customWidth="1"/>
    <col min="23" max="23" width="2.77734375" customWidth="1"/>
    <col min="24" max="24" width="16.5546875" bestFit="1" customWidth="1"/>
    <col min="25" max="25" width="24.5546875" bestFit="1" customWidth="1"/>
    <col min="26" max="26" width="2.77734375" customWidth="1"/>
    <col min="27" max="27" width="16.5546875" bestFit="1" customWidth="1"/>
    <col min="28" max="28" width="10.21875" bestFit="1" customWidth="1"/>
    <col min="29" max="29" width="12.109375" bestFit="1" customWidth="1"/>
    <col min="30" max="30" width="11" bestFit="1" customWidth="1"/>
    <col min="31" max="31" width="10.88671875" bestFit="1" customWidth="1"/>
    <col min="32" max="32" width="2.77734375" customWidth="1"/>
    <col min="33" max="33" width="16.5546875" bestFit="1" customWidth="1"/>
    <col min="34" max="34" width="10.21875" bestFit="1" customWidth="1"/>
    <col min="35" max="35" width="12.109375" bestFit="1" customWidth="1"/>
    <col min="36" max="36" width="11" bestFit="1" customWidth="1"/>
    <col min="37" max="37" width="10.88671875" bestFit="1" customWidth="1"/>
  </cols>
  <sheetData>
    <row r="2" spans="2:37" x14ac:dyDescent="0.3">
      <c r="B2" t="s">
        <v>40</v>
      </c>
      <c r="C2" t="s">
        <v>48</v>
      </c>
      <c r="D2" t="s">
        <v>42</v>
      </c>
      <c r="E2" t="s">
        <v>49</v>
      </c>
      <c r="F2" t="s">
        <v>50</v>
      </c>
      <c r="G2" t="s">
        <v>51</v>
      </c>
      <c r="H2" t="s">
        <v>52</v>
      </c>
      <c r="I2" t="s">
        <v>43</v>
      </c>
      <c r="J2" t="s">
        <v>44</v>
      </c>
      <c r="K2" t="s">
        <v>45</v>
      </c>
      <c r="L2" t="s">
        <v>57</v>
      </c>
      <c r="M2" t="s">
        <v>46</v>
      </c>
      <c r="N2" t="s">
        <v>54</v>
      </c>
      <c r="P2" s="9" t="s">
        <v>17</v>
      </c>
      <c r="Q2" s="9" t="s">
        <v>4</v>
      </c>
      <c r="R2" t="s">
        <v>44</v>
      </c>
      <c r="T2" s="9" t="s">
        <v>55</v>
      </c>
      <c r="U2" t="s">
        <v>46</v>
      </c>
      <c r="V2" t="s">
        <v>45</v>
      </c>
      <c r="X2" s="9" t="s">
        <v>55</v>
      </c>
      <c r="Y2" t="s">
        <v>44</v>
      </c>
      <c r="AA2" s="9" t="s">
        <v>55</v>
      </c>
      <c r="AB2" t="s">
        <v>49</v>
      </c>
      <c r="AC2" t="s">
        <v>50</v>
      </c>
      <c r="AD2" t="s">
        <v>51</v>
      </c>
      <c r="AE2" t="s">
        <v>52</v>
      </c>
      <c r="AG2" s="9" t="s">
        <v>55</v>
      </c>
      <c r="AH2" t="s">
        <v>49</v>
      </c>
      <c r="AI2" t="s">
        <v>50</v>
      </c>
      <c r="AJ2" t="s">
        <v>51</v>
      </c>
      <c r="AK2" t="s">
        <v>52</v>
      </c>
    </row>
    <row r="3" spans="2:37" x14ac:dyDescent="0.3">
      <c r="B3" s="11">
        <v>8644</v>
      </c>
      <c r="C3" s="11">
        <v>794</v>
      </c>
      <c r="D3" s="11">
        <v>214185</v>
      </c>
      <c r="E3" s="11">
        <v>12163</v>
      </c>
      <c r="F3" s="11">
        <v>1053</v>
      </c>
      <c r="G3" s="11">
        <v>2358</v>
      </c>
      <c r="H3" s="11">
        <v>1284</v>
      </c>
      <c r="I3" s="11">
        <v>16858</v>
      </c>
      <c r="J3" s="7">
        <v>5.6263602875046184E-2</v>
      </c>
      <c r="K3" s="7">
        <v>0.94373639712495405</v>
      </c>
      <c r="L3" s="7">
        <v>9.6750000000000003E-2</v>
      </c>
      <c r="M3" s="7">
        <v>0.90325</v>
      </c>
      <c r="N3" s="7">
        <v>-4.255514712495382E-2</v>
      </c>
      <c r="P3">
        <v>2023</v>
      </c>
      <c r="Q3" t="s">
        <v>21</v>
      </c>
      <c r="R3" s="7">
        <v>6.6848186249870156E-2</v>
      </c>
      <c r="S3" s="7"/>
      <c r="T3" s="10" t="s">
        <v>21</v>
      </c>
      <c r="U3" s="7">
        <v>0.91127500000000006</v>
      </c>
      <c r="V3" s="7">
        <v>0.94393628930139994</v>
      </c>
      <c r="X3" s="10">
        <v>2023</v>
      </c>
      <c r="Y3" s="7">
        <v>7.1835432728654031E-2</v>
      </c>
      <c r="AA3" s="10">
        <v>2026</v>
      </c>
      <c r="AB3" s="11">
        <v>12163</v>
      </c>
      <c r="AC3" s="11">
        <v>1053</v>
      </c>
      <c r="AD3" s="11">
        <v>2358</v>
      </c>
      <c r="AE3" s="11">
        <v>1284</v>
      </c>
      <c r="AG3" s="10">
        <v>2023</v>
      </c>
      <c r="AH3" s="11">
        <v>32144</v>
      </c>
      <c r="AI3" s="11">
        <v>2611</v>
      </c>
      <c r="AJ3" s="11">
        <v>5553</v>
      </c>
      <c r="AK3" s="11">
        <v>2475</v>
      </c>
    </row>
    <row r="4" spans="2:37" x14ac:dyDescent="0.3">
      <c r="P4">
        <v>2023</v>
      </c>
      <c r="Q4" t="s">
        <v>22</v>
      </c>
      <c r="R4" s="7">
        <v>6.2747300999818123E-2</v>
      </c>
      <c r="S4" s="7"/>
      <c r="T4" s="10" t="s">
        <v>22</v>
      </c>
      <c r="U4" s="7">
        <v>0.89279999999999993</v>
      </c>
      <c r="V4" s="7">
        <v>0.94710658414448889</v>
      </c>
      <c r="X4" s="10">
        <v>2024</v>
      </c>
      <c r="Y4" s="7">
        <v>5.9150591161085231E-2</v>
      </c>
      <c r="AA4" s="10" t="s">
        <v>56</v>
      </c>
      <c r="AB4" s="11">
        <v>12163</v>
      </c>
      <c r="AC4" s="11">
        <v>1053</v>
      </c>
      <c r="AD4" s="11">
        <v>2358</v>
      </c>
      <c r="AE4" s="11">
        <v>1284</v>
      </c>
      <c r="AG4" s="10">
        <v>2024</v>
      </c>
      <c r="AH4" s="11">
        <v>26402</v>
      </c>
      <c r="AI4" s="11">
        <v>2605</v>
      </c>
      <c r="AJ4" s="11">
        <v>4970</v>
      </c>
      <c r="AK4" s="11">
        <v>2336</v>
      </c>
    </row>
    <row r="5" spans="2:37" x14ac:dyDescent="0.3">
      <c r="P5">
        <v>2023</v>
      </c>
      <c r="Q5" t="s">
        <v>23</v>
      </c>
      <c r="R5" s="7">
        <v>6.3848824151131148E-2</v>
      </c>
      <c r="S5" s="7"/>
      <c r="T5" s="10" t="s">
        <v>23</v>
      </c>
      <c r="U5" s="7">
        <v>0.90570000000000006</v>
      </c>
      <c r="V5" s="7">
        <v>0.93947535619710743</v>
      </c>
      <c r="X5" s="10">
        <v>2025</v>
      </c>
      <c r="Y5" s="7">
        <v>5.611644407713446E-2</v>
      </c>
      <c r="AG5" s="10">
        <v>2025</v>
      </c>
      <c r="AH5" s="11">
        <v>27408</v>
      </c>
      <c r="AI5" s="11">
        <v>2244</v>
      </c>
      <c r="AJ5" s="11">
        <v>5217</v>
      </c>
      <c r="AK5" s="11">
        <v>2125</v>
      </c>
    </row>
    <row r="6" spans="2:37" x14ac:dyDescent="0.3">
      <c r="P6">
        <v>2023</v>
      </c>
      <c r="Q6" t="s">
        <v>24</v>
      </c>
      <c r="R6" s="7">
        <v>7.2175804862173856E-2</v>
      </c>
      <c r="S6" s="7"/>
      <c r="T6" s="10" t="s">
        <v>24</v>
      </c>
      <c r="U6" s="7">
        <v>0.89495000000000002</v>
      </c>
      <c r="V6" s="7">
        <v>0.94442735885681894</v>
      </c>
      <c r="X6" s="10">
        <v>2026</v>
      </c>
      <c r="Y6" s="7">
        <v>5.6263602875046184E-2</v>
      </c>
      <c r="AG6" s="10">
        <v>2026</v>
      </c>
      <c r="AH6" s="11">
        <v>12163</v>
      </c>
      <c r="AI6" s="11">
        <v>1053</v>
      </c>
      <c r="AJ6" s="11">
        <v>2358</v>
      </c>
      <c r="AK6" s="11">
        <v>1284</v>
      </c>
    </row>
    <row r="7" spans="2:37" x14ac:dyDescent="0.3">
      <c r="P7">
        <v>2023</v>
      </c>
      <c r="Q7" t="s">
        <v>25</v>
      </c>
      <c r="R7" s="7">
        <v>7.3010611718769089E-2</v>
      </c>
      <c r="S7" s="7"/>
      <c r="T7" s="10" t="s">
        <v>25</v>
      </c>
      <c r="U7" s="7">
        <v>0.89694999999999991</v>
      </c>
      <c r="V7" s="7"/>
      <c r="X7" s="10" t="s">
        <v>56</v>
      </c>
      <c r="Y7" s="7">
        <v>6.1757100677566644E-2</v>
      </c>
      <c r="AG7" s="10" t="s">
        <v>56</v>
      </c>
      <c r="AH7" s="11">
        <v>98117</v>
      </c>
      <c r="AI7" s="11">
        <v>8513</v>
      </c>
      <c r="AJ7" s="11">
        <v>18098</v>
      </c>
      <c r="AK7" s="11">
        <v>8220</v>
      </c>
    </row>
    <row r="8" spans="2:37" x14ac:dyDescent="0.3">
      <c r="P8">
        <v>2023</v>
      </c>
      <c r="Q8" t="s">
        <v>26</v>
      </c>
      <c r="R8" s="7">
        <v>0.11635831594486107</v>
      </c>
      <c r="S8" s="7"/>
      <c r="T8" s="10" t="s">
        <v>26</v>
      </c>
      <c r="U8" s="7">
        <v>0.87884999999999991</v>
      </c>
      <c r="V8" s="7"/>
    </row>
    <row r="9" spans="2:37" x14ac:dyDescent="0.3">
      <c r="P9">
        <v>2023</v>
      </c>
      <c r="Q9" t="s">
        <v>27</v>
      </c>
      <c r="R9" s="7">
        <v>7.5294049498176752E-2</v>
      </c>
      <c r="S9" s="7"/>
      <c r="T9" s="10" t="s">
        <v>27</v>
      </c>
      <c r="U9" s="7">
        <v>0.88897499999999985</v>
      </c>
      <c r="V9" s="7"/>
    </row>
    <row r="10" spans="2:37" x14ac:dyDescent="0.3">
      <c r="P10">
        <v>2023</v>
      </c>
      <c r="Q10" t="s">
        <v>28</v>
      </c>
      <c r="R10" s="7">
        <v>6.6134466946271633E-2</v>
      </c>
      <c r="S10" s="7"/>
      <c r="T10" s="10" t="s">
        <v>28</v>
      </c>
      <c r="U10" s="7">
        <v>0.90052499999999991</v>
      </c>
      <c r="V10" s="7"/>
    </row>
    <row r="11" spans="2:37" x14ac:dyDescent="0.3">
      <c r="P11">
        <v>2023</v>
      </c>
      <c r="Q11" t="s">
        <v>29</v>
      </c>
      <c r="R11" s="7">
        <v>6.2478195418441268E-2</v>
      </c>
      <c r="S11" s="7"/>
      <c r="T11" s="10" t="s">
        <v>29</v>
      </c>
      <c r="U11" s="7">
        <v>0.92135</v>
      </c>
      <c r="V11" s="7"/>
    </row>
    <row r="12" spans="2:37" x14ac:dyDescent="0.3">
      <c r="P12">
        <v>2023</v>
      </c>
      <c r="Q12" t="s">
        <v>30</v>
      </c>
      <c r="R12" s="7">
        <v>6.4532125828201753E-2</v>
      </c>
      <c r="S12" s="7"/>
      <c r="T12" s="10" t="s">
        <v>30</v>
      </c>
      <c r="U12" s="7">
        <v>0.93127500000000007</v>
      </c>
      <c r="V12" s="7"/>
    </row>
    <row r="13" spans="2:37" x14ac:dyDescent="0.3">
      <c r="P13">
        <v>2023</v>
      </c>
      <c r="Q13" t="s">
        <v>31</v>
      </c>
      <c r="R13" s="7">
        <v>8.3703051908810444E-2</v>
      </c>
      <c r="S13" s="7"/>
      <c r="T13" s="10" t="s">
        <v>31</v>
      </c>
      <c r="U13" s="7">
        <v>0.91552500000000014</v>
      </c>
      <c r="V13" s="7"/>
    </row>
    <row r="14" spans="2:37" x14ac:dyDescent="0.3">
      <c r="P14">
        <v>2023</v>
      </c>
      <c r="Q14" t="s">
        <v>32</v>
      </c>
      <c r="R14" s="7">
        <v>5.4894259217323202E-2</v>
      </c>
      <c r="S14" s="7"/>
      <c r="T14" s="10" t="s">
        <v>32</v>
      </c>
      <c r="U14" s="7">
        <v>0.9008250000000001</v>
      </c>
      <c r="V14" s="7"/>
    </row>
    <row r="15" spans="2:37" x14ac:dyDescent="0.3">
      <c r="P15" t="s">
        <v>58</v>
      </c>
      <c r="R15" s="7">
        <v>7.1835432728654031E-2</v>
      </c>
      <c r="S15" s="7"/>
      <c r="T15" s="10" t="s">
        <v>56</v>
      </c>
      <c r="U15" s="7">
        <v>0.90325000000000022</v>
      </c>
      <c r="V15" s="7">
        <v>0.94373639712495405</v>
      </c>
    </row>
    <row r="16" spans="2:37" x14ac:dyDescent="0.3">
      <c r="P16">
        <v>2024</v>
      </c>
      <c r="Q16" t="s">
        <v>21</v>
      </c>
      <c r="R16" s="7">
        <v>4.8372213674518785E-2</v>
      </c>
      <c r="S16" s="7"/>
    </row>
    <row r="17" spans="16:19" x14ac:dyDescent="0.3">
      <c r="P17">
        <v>2024</v>
      </c>
      <c r="Q17" t="s">
        <v>22</v>
      </c>
      <c r="R17" s="7">
        <v>5.0935901086314711E-2</v>
      </c>
      <c r="S17" s="7"/>
    </row>
    <row r="18" spans="16:19" x14ac:dyDescent="0.3">
      <c r="P18">
        <v>2024</v>
      </c>
      <c r="Q18" t="s">
        <v>23</v>
      </c>
      <c r="R18" s="7">
        <v>5.5534345525763473E-2</v>
      </c>
      <c r="S18" s="7"/>
    </row>
    <row r="19" spans="16:19" x14ac:dyDescent="0.3">
      <c r="P19">
        <v>2024</v>
      </c>
      <c r="Q19" t="s">
        <v>24</v>
      </c>
      <c r="R19" s="7">
        <v>6.5905942511229137E-2</v>
      </c>
      <c r="S19" s="7"/>
    </row>
    <row r="20" spans="16:19" x14ac:dyDescent="0.3">
      <c r="P20">
        <v>2024</v>
      </c>
      <c r="Q20" t="s">
        <v>25</v>
      </c>
      <c r="R20" s="7">
        <v>8.688273843005323E-2</v>
      </c>
      <c r="S20" s="7"/>
    </row>
    <row r="21" spans="16:19" x14ac:dyDescent="0.3">
      <c r="P21">
        <v>2024</v>
      </c>
      <c r="Q21" t="s">
        <v>26</v>
      </c>
      <c r="R21" s="7">
        <v>7.9717764144731709E-2</v>
      </c>
      <c r="S21" s="7"/>
    </row>
    <row r="22" spans="16:19" x14ac:dyDescent="0.3">
      <c r="P22">
        <v>2024</v>
      </c>
      <c r="Q22" t="s">
        <v>27</v>
      </c>
      <c r="R22" s="7">
        <v>6.1689782160005535E-2</v>
      </c>
      <c r="S22" s="7"/>
    </row>
    <row r="23" spans="16:19" x14ac:dyDescent="0.3">
      <c r="P23">
        <v>2024</v>
      </c>
      <c r="Q23" t="s">
        <v>28</v>
      </c>
      <c r="R23" s="7">
        <v>5.5183527730146273E-2</v>
      </c>
      <c r="S23" s="7"/>
    </row>
    <row r="24" spans="16:19" x14ac:dyDescent="0.3">
      <c r="P24">
        <v>2024</v>
      </c>
      <c r="Q24" t="s">
        <v>29</v>
      </c>
      <c r="R24" s="7">
        <v>4.9326514607387878E-2</v>
      </c>
      <c r="S24" s="7"/>
    </row>
    <row r="25" spans="16:19" x14ac:dyDescent="0.3">
      <c r="P25">
        <v>2024</v>
      </c>
      <c r="Q25" t="s">
        <v>30</v>
      </c>
      <c r="R25" s="7">
        <v>5.2723712539204354E-2</v>
      </c>
      <c r="S25" s="7"/>
    </row>
    <row r="26" spans="16:19" x14ac:dyDescent="0.3">
      <c r="P26">
        <v>2024</v>
      </c>
      <c r="Q26" t="s">
        <v>31</v>
      </c>
      <c r="R26" s="7">
        <v>5.228065962902663E-2</v>
      </c>
      <c r="S26" s="7"/>
    </row>
    <row r="27" spans="16:19" x14ac:dyDescent="0.3">
      <c r="P27">
        <v>2024</v>
      </c>
      <c r="Q27" t="s">
        <v>32</v>
      </c>
      <c r="R27" s="7">
        <v>5.1253991894640957E-2</v>
      </c>
      <c r="S27" s="7"/>
    </row>
    <row r="28" spans="16:19" x14ac:dyDescent="0.3">
      <c r="P28" t="s">
        <v>59</v>
      </c>
      <c r="R28" s="7">
        <v>5.9150591161085231E-2</v>
      </c>
      <c r="S28" s="7"/>
    </row>
    <row r="29" spans="16:19" x14ac:dyDescent="0.3">
      <c r="P29">
        <v>2025</v>
      </c>
      <c r="Q29" t="s">
        <v>21</v>
      </c>
      <c r="R29" s="7">
        <v>4.9524622146270715E-2</v>
      </c>
      <c r="S29" s="7"/>
    </row>
    <row r="30" spans="16:19" x14ac:dyDescent="0.3">
      <c r="P30">
        <v>2025</v>
      </c>
      <c r="Q30" t="s">
        <v>22</v>
      </c>
      <c r="R30" s="7">
        <v>6.0256053343961363E-2</v>
      </c>
      <c r="S30" s="7"/>
    </row>
    <row r="31" spans="16:19" x14ac:dyDescent="0.3">
      <c r="P31">
        <v>2025</v>
      </c>
      <c r="Q31" t="s">
        <v>23</v>
      </c>
      <c r="R31" s="7">
        <v>5.2095488658119325E-2</v>
      </c>
      <c r="S31" s="7"/>
    </row>
    <row r="32" spans="16:19" x14ac:dyDescent="0.3">
      <c r="P32">
        <v>2025</v>
      </c>
      <c r="Q32" t="s">
        <v>24</v>
      </c>
      <c r="R32" s="7">
        <v>5.8896704092143023E-2</v>
      </c>
      <c r="S32" s="7"/>
    </row>
    <row r="33" spans="16:19" x14ac:dyDescent="0.3">
      <c r="P33">
        <v>2025</v>
      </c>
      <c r="Q33" t="s">
        <v>25</v>
      </c>
      <c r="R33" s="7">
        <v>6.0983994607852587E-2</v>
      </c>
      <c r="S33" s="7"/>
    </row>
    <row r="34" spans="16:19" x14ac:dyDescent="0.3">
      <c r="P34">
        <v>2025</v>
      </c>
      <c r="Q34" t="s">
        <v>26</v>
      </c>
      <c r="R34" s="7">
        <v>7.5063892235056842E-2</v>
      </c>
      <c r="S34" s="7"/>
    </row>
    <row r="35" spans="16:19" x14ac:dyDescent="0.3">
      <c r="P35">
        <v>2025</v>
      </c>
      <c r="Q35" t="s">
        <v>27</v>
      </c>
      <c r="R35" s="7">
        <v>6.883351333434877E-2</v>
      </c>
      <c r="S35" s="7"/>
    </row>
    <row r="36" spans="16:19" x14ac:dyDescent="0.3">
      <c r="P36">
        <v>2025</v>
      </c>
      <c r="Q36" t="s">
        <v>28</v>
      </c>
      <c r="R36" s="7">
        <v>5.8398281236702335E-2</v>
      </c>
      <c r="S36" s="7"/>
    </row>
    <row r="37" spans="16:19" x14ac:dyDescent="0.3">
      <c r="P37">
        <v>2025</v>
      </c>
      <c r="Q37" t="s">
        <v>29</v>
      </c>
      <c r="R37" s="7">
        <v>4.4790409442742658E-2</v>
      </c>
      <c r="S37" s="7"/>
    </row>
    <row r="38" spans="16:19" x14ac:dyDescent="0.3">
      <c r="P38">
        <v>2025</v>
      </c>
      <c r="Q38" t="s">
        <v>30</v>
      </c>
      <c r="R38" s="7">
        <v>3.8944314337430751E-2</v>
      </c>
      <c r="S38" s="7"/>
    </row>
    <row r="39" spans="16:19" x14ac:dyDescent="0.3">
      <c r="P39">
        <v>2025</v>
      </c>
      <c r="Q39" t="s">
        <v>31</v>
      </c>
      <c r="R39" s="7">
        <v>4.8813035153630384E-2</v>
      </c>
      <c r="S39" s="7"/>
    </row>
    <row r="40" spans="16:19" x14ac:dyDescent="0.3">
      <c r="P40">
        <v>2025</v>
      </c>
      <c r="Q40" t="s">
        <v>32</v>
      </c>
      <c r="R40" s="7">
        <v>5.6797020337354981E-2</v>
      </c>
      <c r="S40" s="7"/>
    </row>
    <row r="41" spans="16:19" x14ac:dyDescent="0.3">
      <c r="P41" t="s">
        <v>60</v>
      </c>
      <c r="R41" s="7">
        <v>5.6116444077134474E-2</v>
      </c>
      <c r="S41" s="7"/>
    </row>
    <row r="42" spans="16:19" x14ac:dyDescent="0.3">
      <c r="P42">
        <v>2026</v>
      </c>
      <c r="Q42" t="s">
        <v>21</v>
      </c>
      <c r="R42" s="7">
        <v>5.6063710698600083E-2</v>
      </c>
      <c r="S42" s="7"/>
    </row>
    <row r="43" spans="16:19" x14ac:dyDescent="0.3">
      <c r="P43">
        <v>2026</v>
      </c>
      <c r="Q43" t="s">
        <v>22</v>
      </c>
      <c r="R43" s="7">
        <v>5.2893415855511064E-2</v>
      </c>
      <c r="S43" s="7"/>
    </row>
    <row r="44" spans="16:19" x14ac:dyDescent="0.3">
      <c r="P44">
        <v>2026</v>
      </c>
      <c r="Q44" t="s">
        <v>23</v>
      </c>
      <c r="R44" s="7">
        <v>6.0524643802892616E-2</v>
      </c>
      <c r="S44" s="7"/>
    </row>
    <row r="45" spans="16:19" x14ac:dyDescent="0.3">
      <c r="P45">
        <v>2026</v>
      </c>
      <c r="Q45" t="s">
        <v>24</v>
      </c>
      <c r="R45" s="7">
        <v>5.5572641143180966E-2</v>
      </c>
      <c r="S45" s="7"/>
    </row>
    <row r="46" spans="16:19" x14ac:dyDescent="0.3">
      <c r="P46">
        <v>2026</v>
      </c>
      <c r="Q46" t="s">
        <v>25</v>
      </c>
      <c r="R46" s="7"/>
      <c r="S46" s="7"/>
    </row>
    <row r="47" spans="16:19" x14ac:dyDescent="0.3">
      <c r="P47">
        <v>2026</v>
      </c>
      <c r="Q47" t="s">
        <v>26</v>
      </c>
      <c r="R47" s="7"/>
      <c r="S47" s="7"/>
    </row>
    <row r="48" spans="16:19" x14ac:dyDescent="0.3">
      <c r="P48">
        <v>2026</v>
      </c>
      <c r="Q48" t="s">
        <v>27</v>
      </c>
      <c r="R48" s="7"/>
      <c r="S48" s="7"/>
    </row>
    <row r="49" spans="16:19" x14ac:dyDescent="0.3">
      <c r="P49">
        <v>2026</v>
      </c>
      <c r="Q49" t="s">
        <v>28</v>
      </c>
      <c r="R49" s="7"/>
      <c r="S49" s="7"/>
    </row>
    <row r="50" spans="16:19" x14ac:dyDescent="0.3">
      <c r="P50">
        <v>2026</v>
      </c>
      <c r="Q50" t="s">
        <v>29</v>
      </c>
      <c r="R50" s="7"/>
      <c r="S50" s="7"/>
    </row>
    <row r="51" spans="16:19" x14ac:dyDescent="0.3">
      <c r="P51">
        <v>2026</v>
      </c>
      <c r="Q51" t="s">
        <v>30</v>
      </c>
      <c r="R51" s="7"/>
      <c r="S51" s="7"/>
    </row>
    <row r="52" spans="16:19" x14ac:dyDescent="0.3">
      <c r="P52">
        <v>2026</v>
      </c>
      <c r="Q52" t="s">
        <v>31</v>
      </c>
      <c r="R52" s="7"/>
      <c r="S52" s="7"/>
    </row>
    <row r="53" spans="16:19" x14ac:dyDescent="0.3">
      <c r="P53">
        <v>2026</v>
      </c>
      <c r="Q53" t="s">
        <v>32</v>
      </c>
      <c r="R53" s="7"/>
      <c r="S53" s="7"/>
    </row>
    <row r="54" spans="16:19" x14ac:dyDescent="0.3">
      <c r="P54" t="s">
        <v>61</v>
      </c>
      <c r="R54" s="7">
        <v>5.6263602875046177E-2</v>
      </c>
      <c r="S54" s="7"/>
    </row>
    <row r="55" spans="16:19" x14ac:dyDescent="0.3">
      <c r="P55" t="s">
        <v>56</v>
      </c>
      <c r="R55" s="7">
        <v>6.1757100677566693E-2</v>
      </c>
      <c r="S5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4BA7-0AF5-44C1-B372-D0AEA2A03DDD}">
  <dimension ref="B1:O41"/>
  <sheetViews>
    <sheetView topLeftCell="A21" workbookViewId="0">
      <selection activeCell="C32" sqref="C32"/>
    </sheetView>
  </sheetViews>
  <sheetFormatPr baseColWidth="10" defaultRowHeight="14.4" x14ac:dyDescent="0.3"/>
  <cols>
    <col min="14" max="14" width="11.33203125" bestFit="1" customWidth="1"/>
  </cols>
  <sheetData>
    <row r="1" spans="2:15" x14ac:dyDescent="0.3">
      <c r="B1" s="3"/>
      <c r="C1" s="3"/>
      <c r="D1" s="3"/>
      <c r="E1" s="3"/>
      <c r="F1" s="3"/>
      <c r="G1" s="3"/>
      <c r="H1" s="3"/>
      <c r="I1" s="3"/>
      <c r="J1" s="3"/>
      <c r="K1" s="4"/>
      <c r="L1" s="4"/>
      <c r="M1" s="4"/>
      <c r="N1" s="4"/>
      <c r="O1" s="4"/>
    </row>
    <row r="2" spans="2:15" ht="43.2" x14ac:dyDescent="0.3">
      <c r="B2" s="3"/>
      <c r="C2" s="3" t="s">
        <v>40</v>
      </c>
      <c r="D2" s="3" t="s">
        <v>41</v>
      </c>
      <c r="E2" s="3" t="s">
        <v>42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43</v>
      </c>
      <c r="K2" s="4" t="s">
        <v>44</v>
      </c>
      <c r="L2" s="4" t="s">
        <v>45</v>
      </c>
      <c r="M2" s="4" t="s">
        <v>53</v>
      </c>
      <c r="N2" s="4" t="s">
        <v>46</v>
      </c>
      <c r="O2" s="4" t="s">
        <v>54</v>
      </c>
    </row>
    <row r="3" spans="2:15" x14ac:dyDescent="0.3">
      <c r="B3" s="3"/>
      <c r="C3" s="3">
        <f>GETPIVOTDATA("Suma de Plantilla",Analisis!$B$2)</f>
        <v>8644</v>
      </c>
      <c r="D3" s="3">
        <f>GETPIVOTDATA("Suma de Días laborables
 del mes",Analisis!$B$2)</f>
        <v>794</v>
      </c>
      <c r="E3" s="3">
        <f>GETPIVOTDATA("Suma de Jornales",Analisis!$B$2)</f>
        <v>214185</v>
      </c>
      <c r="F3" s="3">
        <f>GETPIVOTDATA("Suma de FI",Analisis!$B$2)</f>
        <v>12163</v>
      </c>
      <c r="G3" s="3">
        <f>GETPIVOTDATA("Suma de PSG",Analisis!$B$2)</f>
        <v>1053</v>
      </c>
      <c r="H3" s="3">
        <f>GETPIVOTDATA("Suma de EG",Analisis!$B$2)</f>
        <v>2358</v>
      </c>
      <c r="I3" s="3">
        <f>GETPIVOTDATA("Suma de RT",Analisis!$B$2)</f>
        <v>1284</v>
      </c>
      <c r="J3" s="3">
        <f>GETPIVOTDATA("Suma de Ausencias",Analisis!$B$2)</f>
        <v>16858</v>
      </c>
      <c r="K3" s="5">
        <f>IFERROR(GETPIVOTDATA("Promedio de REAL AUSENT.",Analisis!$B$2),0)</f>
        <v>5.6263602875046184E-2</v>
      </c>
      <c r="L3" s="5">
        <f>IFERROR(GETPIVOTDATA("Promedio de REAL COMPR.",Analisis!$B$2),0)</f>
        <v>0.94373639712495405</v>
      </c>
      <c r="M3" s="5">
        <f>IFERROR(GETPIVOTDATA("Suma de PLAN 
AUSENT.",Analisis!$B$2),0)</f>
        <v>0</v>
      </c>
      <c r="N3" s="5">
        <f>IFERROR(GETPIVOTDATA("Promedio de PLAN COMPR.",Analisis!$B$2),0)</f>
        <v>0.90325</v>
      </c>
      <c r="O3" s="5">
        <f>IFERROR(GETPIVOTDATA("Promedio de DIF +/-",Analisis!$B$2),0)</f>
        <v>-4.255514712495382E-2</v>
      </c>
    </row>
    <row r="4" spans="2:15" x14ac:dyDescent="0.3">
      <c r="B4" s="3"/>
      <c r="C4" s="3"/>
      <c r="D4" s="3"/>
      <c r="E4" s="3"/>
      <c r="F4" s="3"/>
      <c r="G4" s="3"/>
      <c r="H4" s="3"/>
      <c r="I4" s="3"/>
      <c r="J4" s="3"/>
      <c r="K4" s="4"/>
      <c r="L4" s="4"/>
      <c r="M4" s="4"/>
      <c r="N4" s="4"/>
      <c r="O4" s="4"/>
    </row>
    <row r="5" spans="2:15" x14ac:dyDescent="0.3">
      <c r="B5" s="3"/>
      <c r="C5" s="3" t="s">
        <v>21</v>
      </c>
      <c r="D5" s="3" t="s">
        <v>22</v>
      </c>
      <c r="E5" s="3" t="s">
        <v>23</v>
      </c>
      <c r="F5" s="3" t="s">
        <v>24</v>
      </c>
      <c r="G5" s="3" t="s">
        <v>25</v>
      </c>
      <c r="H5" s="3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3" t="s">
        <v>32</v>
      </c>
      <c r="O5" s="4"/>
    </row>
    <row r="6" spans="2:15" x14ac:dyDescent="0.3">
      <c r="B6" s="3">
        <v>2023</v>
      </c>
      <c r="C6" s="5">
        <f>IFERROR(AVERAGEIFS(Analisis!$R:$R,Analisis!$Q:$Q,Info!C$5,Analisis!$P:$P,Info!$B6),0)</f>
        <v>6.6848186249870156E-2</v>
      </c>
      <c r="D6" s="5">
        <f>IFERROR(AVERAGEIFS(Analisis!$R:$R,Analisis!$Q:$Q,Info!D$5,Analisis!$P:$P,Info!$B6),0)</f>
        <v>6.2747300999818123E-2</v>
      </c>
      <c r="E6" s="5">
        <f>IFERROR(AVERAGEIFS(Analisis!$R:$R,Analisis!$Q:$Q,Info!E$5,Analisis!$P:$P,Info!$B6),0)</f>
        <v>6.3848824151131148E-2</v>
      </c>
      <c r="F6" s="5">
        <f>IFERROR(AVERAGEIFS(Analisis!$R:$R,Analisis!$Q:$Q,Info!F$5,Analisis!$P:$P,Info!$B6),0)</f>
        <v>7.2175804862173856E-2</v>
      </c>
      <c r="G6" s="5">
        <f>IFERROR(AVERAGEIFS(Analisis!$R:$R,Analisis!$Q:$Q,Info!G$5,Analisis!$P:$P,Info!$B6),0)</f>
        <v>7.3010611718769089E-2</v>
      </c>
      <c r="H6" s="5">
        <f>IFERROR(AVERAGEIFS(Analisis!$R:$R,Analisis!$Q:$Q,Info!H$5,Analisis!$P:$P,Info!$B6),0)</f>
        <v>0.11635831594486107</v>
      </c>
      <c r="I6" s="5">
        <f>IFERROR(AVERAGEIFS(Analisis!$R:$R,Analisis!$Q:$Q,Info!I$5,Analisis!$P:$P,Info!$B6),0)</f>
        <v>7.5294049498176752E-2</v>
      </c>
      <c r="J6" s="5">
        <f>IFERROR(AVERAGEIFS(Analisis!$R:$R,Analisis!$Q:$Q,Info!J$5,Analisis!$P:$P,Info!$B6),0)</f>
        <v>6.6134466946271633E-2</v>
      </c>
      <c r="K6" s="5">
        <f>IFERROR(AVERAGEIFS(Analisis!$R:$R,Analisis!$Q:$Q,Info!K$5,Analisis!$P:$P,Info!$B6),0)</f>
        <v>6.2478195418441268E-2</v>
      </c>
      <c r="L6" s="5">
        <f>IFERROR(AVERAGEIFS(Analisis!$R:$R,Analisis!$Q:$Q,Info!L$5,Analisis!$P:$P,Info!$B6),0)</f>
        <v>6.4532125828201753E-2</v>
      </c>
      <c r="M6" s="5">
        <f>IFERROR(AVERAGEIFS(Analisis!$R:$R,Analisis!$Q:$Q,Info!M$5,Analisis!$P:$P,Info!$B6),0)</f>
        <v>8.3703051908810444E-2</v>
      </c>
      <c r="N6" s="5">
        <f>IFERROR(AVERAGEIFS(Analisis!$R:$R,Analisis!$Q:$Q,Info!N$5,Analisis!$P:$P,Info!$B6),0)</f>
        <v>5.4894259217323202E-2</v>
      </c>
      <c r="O6" s="5"/>
    </row>
    <row r="7" spans="2:15" x14ac:dyDescent="0.3">
      <c r="B7" s="3">
        <v>2024</v>
      </c>
      <c r="C7" s="5">
        <f>IFERROR(AVERAGEIFS(Analisis!$R:$R,Analisis!$Q:$Q,Info!C$5,Analisis!$P:$P,Info!$B7),0)</f>
        <v>4.8372213674518785E-2</v>
      </c>
      <c r="D7" s="5">
        <f>IFERROR(AVERAGEIFS(Analisis!$R:$R,Analisis!$Q:$Q,Info!D$5,Analisis!$P:$P,Info!$B7),0)</f>
        <v>5.0935901086314711E-2</v>
      </c>
      <c r="E7" s="5">
        <f>IFERROR(AVERAGEIFS(Analisis!$R:$R,Analisis!$Q:$Q,Info!E$5,Analisis!$P:$P,Info!$B7),0)</f>
        <v>5.5534345525763473E-2</v>
      </c>
      <c r="F7" s="5">
        <f>IFERROR(AVERAGEIFS(Analisis!$R:$R,Analisis!$Q:$Q,Info!F$5,Analisis!$P:$P,Info!$B7),0)</f>
        <v>6.5905942511229137E-2</v>
      </c>
      <c r="G7" s="5">
        <f>IFERROR(AVERAGEIFS(Analisis!$R:$R,Analisis!$Q:$Q,Info!G$5,Analisis!$P:$P,Info!$B7),0)</f>
        <v>8.688273843005323E-2</v>
      </c>
      <c r="H7" s="5">
        <f>IFERROR(AVERAGEIFS(Analisis!$R:$R,Analisis!$Q:$Q,Info!H$5,Analisis!$P:$P,Info!$B7),0)</f>
        <v>7.9717764144731709E-2</v>
      </c>
      <c r="I7" s="5">
        <f>IFERROR(AVERAGEIFS(Analisis!$R:$R,Analisis!$Q:$Q,Info!I$5,Analisis!$P:$P,Info!$B7),0)</f>
        <v>6.1689782160005535E-2</v>
      </c>
      <c r="J7" s="5">
        <f>IFERROR(AVERAGEIFS(Analisis!$R:$R,Analisis!$Q:$Q,Info!J$5,Analisis!$P:$P,Info!$B7),0)</f>
        <v>5.5183527730146273E-2</v>
      </c>
      <c r="K7" s="5">
        <f>IFERROR(AVERAGEIFS(Analisis!$R:$R,Analisis!$Q:$Q,Info!K$5,Analisis!$P:$P,Info!$B7),0)</f>
        <v>4.9326514607387878E-2</v>
      </c>
      <c r="L7" s="5">
        <f>IFERROR(AVERAGEIFS(Analisis!$R:$R,Analisis!$Q:$Q,Info!L$5,Analisis!$P:$P,Info!$B7),0)</f>
        <v>5.2723712539204354E-2</v>
      </c>
      <c r="M7" s="5">
        <f>IFERROR(AVERAGEIFS(Analisis!$R:$R,Analisis!$Q:$Q,Info!M$5,Analisis!$P:$P,Info!$B7),0)</f>
        <v>5.228065962902663E-2</v>
      </c>
      <c r="N7" s="5">
        <f>IFERROR(AVERAGEIFS(Analisis!$R:$R,Analisis!$Q:$Q,Info!N$5,Analisis!$P:$P,Info!$B7),0)</f>
        <v>5.1253991894640957E-2</v>
      </c>
      <c r="O7" s="5"/>
    </row>
    <row r="8" spans="2:15" x14ac:dyDescent="0.3">
      <c r="B8" s="3">
        <v>2025</v>
      </c>
      <c r="C8" s="5">
        <f>IFERROR(AVERAGEIFS(Analisis!$R:$R,Analisis!$Q:$Q,Info!C$5,Analisis!$P:$P,Info!$B8),0)</f>
        <v>4.9524622146270715E-2</v>
      </c>
      <c r="D8" s="5">
        <f>IFERROR(AVERAGEIFS(Analisis!$R:$R,Analisis!$Q:$Q,Info!D$5,Analisis!$P:$P,Info!$B8),0)</f>
        <v>6.0256053343961363E-2</v>
      </c>
      <c r="E8" s="5">
        <f>IFERROR(AVERAGEIFS(Analisis!$R:$R,Analisis!$Q:$Q,Info!E$5,Analisis!$P:$P,Info!$B8),0)</f>
        <v>5.2095488658119325E-2</v>
      </c>
      <c r="F8" s="5">
        <f>IFERROR(AVERAGEIFS(Analisis!$R:$R,Analisis!$Q:$Q,Info!F$5,Analisis!$P:$P,Info!$B8),0)</f>
        <v>5.8896704092143023E-2</v>
      </c>
      <c r="G8" s="5">
        <f>IFERROR(AVERAGEIFS(Analisis!$R:$R,Analisis!$Q:$Q,Info!G$5,Analisis!$P:$P,Info!$B8),0)</f>
        <v>6.0983994607852587E-2</v>
      </c>
      <c r="H8" s="5">
        <f>IFERROR(AVERAGEIFS(Analisis!$R:$R,Analisis!$Q:$Q,Info!H$5,Analisis!$P:$P,Info!$B8),0)</f>
        <v>7.5063892235056842E-2</v>
      </c>
      <c r="I8" s="5">
        <f>IFERROR(AVERAGEIFS(Analisis!$R:$R,Analisis!$Q:$Q,Info!I$5,Analisis!$P:$P,Info!$B8),0)</f>
        <v>6.883351333434877E-2</v>
      </c>
      <c r="J8" s="5">
        <f>IFERROR(AVERAGEIFS(Analisis!$R:$R,Analisis!$Q:$Q,Info!J$5,Analisis!$P:$P,Info!$B8),0)</f>
        <v>5.8398281236702335E-2</v>
      </c>
      <c r="K8" s="5">
        <f>IFERROR(AVERAGEIFS(Analisis!$R:$R,Analisis!$Q:$Q,Info!K$5,Analisis!$P:$P,Info!$B8),0)</f>
        <v>4.4790409442742658E-2</v>
      </c>
      <c r="L8" s="5">
        <f>IFERROR(AVERAGEIFS(Analisis!$R:$R,Analisis!$Q:$Q,Info!L$5,Analisis!$P:$P,Info!$B8),0)</f>
        <v>3.8944314337430751E-2</v>
      </c>
      <c r="M8" s="5">
        <f>IFERROR(AVERAGEIFS(Analisis!$R:$R,Analisis!$Q:$Q,Info!M$5,Analisis!$P:$P,Info!$B8),0)</f>
        <v>4.8813035153630384E-2</v>
      </c>
      <c r="N8" s="5">
        <f>IFERROR(AVERAGEIFS(Analisis!$R:$R,Analisis!$Q:$Q,Info!N$5,Analisis!$P:$P,Info!$B8),0)</f>
        <v>5.6797020337354981E-2</v>
      </c>
      <c r="O8" s="5"/>
    </row>
    <row r="9" spans="2:15" x14ac:dyDescent="0.3">
      <c r="B9" s="3">
        <v>2026</v>
      </c>
      <c r="C9" s="5">
        <f>IFERROR(AVERAGEIFS(Analisis!$R:$R,Analisis!$Q:$Q,Info!C$5,Analisis!$P:$P,Info!$B9),0)</f>
        <v>5.6063710698600083E-2</v>
      </c>
      <c r="D9" s="5">
        <f>IFERROR(AVERAGEIFS(Analisis!$R:$R,Analisis!$Q:$Q,Info!D$5,Analisis!$P:$P,Info!$B9),0)</f>
        <v>5.2893415855511064E-2</v>
      </c>
      <c r="E9" s="5">
        <f>IFERROR(AVERAGEIFS(Analisis!$R:$R,Analisis!$Q:$Q,Info!E$5,Analisis!$P:$P,Info!$B9),0)</f>
        <v>6.0524643802892616E-2</v>
      </c>
      <c r="F9" s="5">
        <f>IFERROR(AVERAGEIFS(Analisis!$R:$R,Analisis!$Q:$Q,Info!F$5,Analisis!$P:$P,Info!$B9),0)</f>
        <v>5.5572641143180966E-2</v>
      </c>
      <c r="G9" s="5">
        <f>IFERROR(AVERAGEIFS(Analisis!$R:$R,Analisis!$Q:$Q,Info!G$5,Analisis!$P:$P,Info!$B9),0)</f>
        <v>0</v>
      </c>
      <c r="H9" s="5">
        <f>IFERROR(AVERAGEIFS(Analisis!$R:$R,Analisis!$Q:$Q,Info!H$5,Analisis!$P:$P,Info!$B9),0)</f>
        <v>0</v>
      </c>
      <c r="I9" s="5">
        <f>IFERROR(AVERAGEIFS(Analisis!$R:$R,Analisis!$Q:$Q,Info!I$5,Analisis!$P:$P,Info!$B9),0)</f>
        <v>0</v>
      </c>
      <c r="J9" s="5">
        <f>IFERROR(AVERAGEIFS(Analisis!$R:$R,Analisis!$Q:$Q,Info!J$5,Analisis!$P:$P,Info!$B9),0)</f>
        <v>0</v>
      </c>
      <c r="K9" s="5">
        <f>IFERROR(AVERAGEIFS(Analisis!$R:$R,Analisis!$Q:$Q,Info!K$5,Analisis!$P:$P,Info!$B9),0)</f>
        <v>0</v>
      </c>
      <c r="L9" s="5">
        <f>IFERROR(AVERAGEIFS(Analisis!$R:$R,Analisis!$Q:$Q,Info!L$5,Analisis!$P:$P,Info!$B9),0)</f>
        <v>0</v>
      </c>
      <c r="M9" s="5">
        <f>IFERROR(AVERAGEIFS(Analisis!$R:$R,Analisis!$Q:$Q,Info!M$5,Analisis!$P:$P,Info!$B9),0)</f>
        <v>0</v>
      </c>
      <c r="N9" s="5">
        <f>IFERROR(AVERAGEIFS(Analisis!$R:$R,Analisis!$Q:$Q,Info!N$5,Analisis!$P:$P,Info!$B9),0)</f>
        <v>0</v>
      </c>
      <c r="O9" s="5"/>
    </row>
    <row r="10" spans="2:15" x14ac:dyDescent="0.3">
      <c r="B10" s="3"/>
      <c r="C10" s="8"/>
      <c r="D10" s="8"/>
      <c r="E10" s="8"/>
      <c r="F10" s="8"/>
      <c r="G10" s="8"/>
      <c r="H10" s="8"/>
      <c r="I10" s="8"/>
      <c r="J10" s="8"/>
      <c r="K10" s="5"/>
      <c r="L10" s="5"/>
      <c r="M10" s="8"/>
      <c r="N10" s="8"/>
    </row>
    <row r="11" spans="2:15" ht="28.8" x14ac:dyDescent="0.3">
      <c r="B11" s="3"/>
      <c r="C11" s="5" t="s">
        <v>14</v>
      </c>
      <c r="D11" s="5" t="s">
        <v>12</v>
      </c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2:15" x14ac:dyDescent="0.3">
      <c r="B12" s="3" t="s">
        <v>21</v>
      </c>
      <c r="C12" s="5">
        <f>IFERROR(AVERAGEIFS(Analisis!$U:$U,Analisis!$T:$T,Info!$B12),0)</f>
        <v>0.91127500000000006</v>
      </c>
      <c r="D12" s="5">
        <f>IFERROR(AVERAGEIFS(Analisis!$V:$V,Analisis!$T:$T,Info!$B12),0)</f>
        <v>0.94393628930139994</v>
      </c>
      <c r="E12" s="5"/>
      <c r="F12" s="5"/>
      <c r="G12" s="5"/>
      <c r="H12" s="5"/>
      <c r="I12" s="5"/>
      <c r="J12" s="5"/>
      <c r="K12" s="4"/>
      <c r="L12" s="4"/>
      <c r="M12" s="4"/>
      <c r="N12" s="4"/>
    </row>
    <row r="13" spans="2:15" x14ac:dyDescent="0.3">
      <c r="B13" s="3" t="s">
        <v>22</v>
      </c>
      <c r="C13" s="5">
        <f>IFERROR(AVERAGEIFS(Analisis!$U:$U,Analisis!$T:$T,Info!$B13),0)</f>
        <v>0.89279999999999993</v>
      </c>
      <c r="D13" s="5">
        <f>IFERROR(AVERAGEIFS(Analisis!$V:$V,Analisis!$T:$T,Info!$B13),0)</f>
        <v>0.94710658414448889</v>
      </c>
      <c r="E13" s="5"/>
      <c r="F13" s="5"/>
      <c r="G13" s="5"/>
      <c r="H13" s="5"/>
      <c r="I13" s="5"/>
      <c r="J13" s="5"/>
      <c r="K13" s="4"/>
      <c r="L13" s="4"/>
      <c r="M13" s="4"/>
      <c r="N13" s="4"/>
    </row>
    <row r="14" spans="2:15" x14ac:dyDescent="0.3">
      <c r="B14" s="3" t="s">
        <v>23</v>
      </c>
      <c r="C14" s="5">
        <f>IFERROR(AVERAGEIFS(Analisis!$U:$U,Analisis!$T:$T,Info!$B14),0)</f>
        <v>0.90570000000000006</v>
      </c>
      <c r="D14" s="5">
        <f>IFERROR(AVERAGEIFS(Analisis!$V:$V,Analisis!$T:$T,Info!$B14),0)</f>
        <v>0.93947535619710743</v>
      </c>
      <c r="E14" s="5"/>
      <c r="F14" s="5"/>
      <c r="G14" s="5"/>
      <c r="H14" s="5"/>
      <c r="I14" s="5"/>
      <c r="J14" s="5"/>
      <c r="K14" s="4"/>
      <c r="L14" s="4"/>
      <c r="M14" s="4"/>
      <c r="N14" s="4"/>
    </row>
    <row r="15" spans="2:15" x14ac:dyDescent="0.3">
      <c r="B15" s="3" t="s">
        <v>24</v>
      </c>
      <c r="C15" s="5">
        <f>IFERROR(AVERAGEIFS(Analisis!$U:$U,Analisis!$T:$T,Info!$B15),0)</f>
        <v>0.89495000000000002</v>
      </c>
      <c r="D15" s="5">
        <f>IFERROR(AVERAGEIFS(Analisis!$V:$V,Analisis!$T:$T,Info!$B15),0)</f>
        <v>0.94442735885681894</v>
      </c>
      <c r="E15" s="5"/>
      <c r="F15" s="5"/>
      <c r="G15" s="5"/>
      <c r="H15" s="5"/>
      <c r="I15" s="5"/>
      <c r="J15" s="5"/>
      <c r="K15" s="4"/>
      <c r="L15" s="4"/>
      <c r="M15" s="4"/>
      <c r="N15" s="4"/>
    </row>
    <row r="16" spans="2:15" x14ac:dyDescent="0.3">
      <c r="B16" s="3" t="s">
        <v>25</v>
      </c>
      <c r="C16" s="5">
        <f>IFERROR(AVERAGEIFS(Analisis!$U:$U,Analisis!$T:$T,Info!$B16),0)</f>
        <v>0.89694999999999991</v>
      </c>
      <c r="D16" s="5">
        <f>IFERROR(AVERAGEIFS(Analisis!$V:$V,Analisis!$T:$T,Info!$B16),0)</f>
        <v>0</v>
      </c>
      <c r="E16" s="5"/>
      <c r="F16" s="5"/>
      <c r="G16" s="5"/>
      <c r="H16" s="5"/>
      <c r="I16" s="5"/>
      <c r="J16" s="5"/>
      <c r="K16" s="4"/>
      <c r="L16" s="4"/>
      <c r="M16" s="4"/>
      <c r="N16" s="4"/>
    </row>
    <row r="17" spans="2:15" x14ac:dyDescent="0.3">
      <c r="B17" s="3" t="s">
        <v>26</v>
      </c>
      <c r="C17" s="5">
        <f>IFERROR(AVERAGEIFS(Analisis!$U:$U,Analisis!$T:$T,Info!$B17),0)</f>
        <v>0.87884999999999991</v>
      </c>
      <c r="D17" s="5">
        <f>IFERROR(AVERAGEIFS(Analisis!$V:$V,Analisis!$T:$T,Info!$B17),0)</f>
        <v>0</v>
      </c>
      <c r="E17" s="5"/>
      <c r="F17" s="5"/>
      <c r="G17" s="5"/>
      <c r="H17" s="5"/>
      <c r="I17" s="5"/>
      <c r="J17" s="5"/>
      <c r="K17" s="4"/>
      <c r="L17" s="4"/>
      <c r="M17" s="4"/>
      <c r="N17" s="4"/>
    </row>
    <row r="18" spans="2:15" x14ac:dyDescent="0.3">
      <c r="B18" s="3" t="s">
        <v>27</v>
      </c>
      <c r="C18" s="5">
        <f>IFERROR(AVERAGEIFS(Analisis!$U:$U,Analisis!$T:$T,Info!$B18),0)</f>
        <v>0.88897499999999985</v>
      </c>
      <c r="D18" s="5">
        <f>IFERROR(AVERAGEIFS(Analisis!$V:$V,Analisis!$T:$T,Info!$B18),0)</f>
        <v>0</v>
      </c>
      <c r="E18" s="5"/>
      <c r="F18" s="5"/>
      <c r="G18" s="5"/>
      <c r="H18" s="5"/>
      <c r="I18" s="5"/>
      <c r="J18" s="5"/>
      <c r="K18" s="4"/>
      <c r="L18" s="4"/>
      <c r="M18" s="4"/>
      <c r="N18" s="4"/>
    </row>
    <row r="19" spans="2:15" x14ac:dyDescent="0.3">
      <c r="B19" s="3" t="s">
        <v>28</v>
      </c>
      <c r="C19" s="5">
        <f>IFERROR(AVERAGEIFS(Analisis!$U:$U,Analisis!$T:$T,Info!$B19),0)</f>
        <v>0.90052499999999991</v>
      </c>
      <c r="D19" s="5">
        <f>IFERROR(AVERAGEIFS(Analisis!$V:$V,Analisis!$T:$T,Info!$B19),0)</f>
        <v>0</v>
      </c>
      <c r="E19" s="5"/>
      <c r="F19" s="5"/>
      <c r="G19" s="5"/>
      <c r="H19" s="5"/>
      <c r="I19" s="5"/>
      <c r="J19" s="5"/>
      <c r="K19" s="4"/>
      <c r="L19" s="4"/>
      <c r="M19" s="4"/>
      <c r="N19" s="4"/>
    </row>
    <row r="20" spans="2:15" x14ac:dyDescent="0.3">
      <c r="B20" s="3" t="s">
        <v>29</v>
      </c>
      <c r="C20" s="5">
        <f>IFERROR(AVERAGEIFS(Analisis!$U:$U,Analisis!$T:$T,Info!$B20),0)</f>
        <v>0.92135</v>
      </c>
      <c r="D20" s="5">
        <f>IFERROR(AVERAGEIFS(Analisis!$V:$V,Analisis!$T:$T,Info!$B20),0)</f>
        <v>0</v>
      </c>
      <c r="E20" s="5"/>
      <c r="F20" s="5"/>
      <c r="G20" s="5"/>
      <c r="H20" s="5"/>
      <c r="I20" s="5"/>
      <c r="J20" s="5"/>
      <c r="K20" s="4"/>
      <c r="L20" s="4"/>
      <c r="M20" s="4"/>
      <c r="N20" s="4"/>
    </row>
    <row r="21" spans="2:15" x14ac:dyDescent="0.3">
      <c r="B21" s="3" t="s">
        <v>30</v>
      </c>
      <c r="C21" s="5">
        <f>IFERROR(AVERAGEIFS(Analisis!$U:$U,Analisis!$T:$T,Info!$B21),0)</f>
        <v>0.93127500000000007</v>
      </c>
      <c r="D21" s="5">
        <f>IFERROR(AVERAGEIFS(Analisis!$V:$V,Analisis!$T:$T,Info!$B21),0)</f>
        <v>0</v>
      </c>
      <c r="E21" s="5"/>
      <c r="F21" s="5"/>
      <c r="G21" s="5"/>
      <c r="H21" s="5"/>
      <c r="I21" s="5"/>
      <c r="J21" s="5"/>
      <c r="K21" s="4"/>
      <c r="L21" s="4"/>
      <c r="M21" s="4"/>
      <c r="N21" s="4"/>
    </row>
    <row r="22" spans="2:15" x14ac:dyDescent="0.3">
      <c r="B22" s="3" t="s">
        <v>31</v>
      </c>
      <c r="C22" s="5">
        <f>IFERROR(AVERAGEIFS(Analisis!$U:$U,Analisis!$T:$T,Info!$B22),0)</f>
        <v>0.91552500000000014</v>
      </c>
      <c r="D22" s="5">
        <f>IFERROR(AVERAGEIFS(Analisis!$V:$V,Analisis!$T:$T,Info!$B22),0)</f>
        <v>0</v>
      </c>
      <c r="E22" s="5"/>
      <c r="F22" s="5"/>
      <c r="G22" s="5"/>
      <c r="H22" s="5"/>
      <c r="I22" s="5"/>
      <c r="J22" s="5"/>
      <c r="K22" s="4"/>
      <c r="L22" s="4"/>
      <c r="M22" s="4"/>
      <c r="N22" s="4"/>
    </row>
    <row r="23" spans="2:15" x14ac:dyDescent="0.3">
      <c r="B23" s="3" t="s">
        <v>32</v>
      </c>
      <c r="C23" s="5">
        <f>IFERROR(AVERAGEIFS(Analisis!$U:$U,Analisis!$T:$T,Info!$B23),0)</f>
        <v>0.9008250000000001</v>
      </c>
      <c r="D23" s="5">
        <f>IFERROR(AVERAGEIFS(Analisis!$V:$V,Analisis!$T:$T,Info!$B23),0)</f>
        <v>0</v>
      </c>
      <c r="E23" s="5"/>
      <c r="F23" s="5"/>
      <c r="G23" s="5"/>
      <c r="H23" s="5"/>
      <c r="I23" s="5"/>
      <c r="J23" s="5"/>
      <c r="K23" s="4"/>
      <c r="L23" s="4"/>
      <c r="M23" s="4"/>
      <c r="N23" s="4"/>
    </row>
    <row r="24" spans="2:15" x14ac:dyDescent="0.3">
      <c r="B24" s="3"/>
      <c r="C24" s="5"/>
      <c r="D24" s="5"/>
      <c r="E24" s="5"/>
      <c r="F24" s="5"/>
      <c r="G24" s="5"/>
      <c r="H24" s="5"/>
      <c r="I24" s="5"/>
      <c r="J24" s="5"/>
      <c r="K24" s="5"/>
      <c r="L24" s="5"/>
      <c r="M24" s="4"/>
      <c r="N24" s="4"/>
      <c r="O24" s="4"/>
    </row>
    <row r="25" spans="2:15" x14ac:dyDescent="0.3">
      <c r="B25" s="3"/>
      <c r="C25" s="3" t="s">
        <v>6</v>
      </c>
      <c r="D25" s="3" t="s">
        <v>7</v>
      </c>
      <c r="E25" s="3" t="s">
        <v>8</v>
      </c>
      <c r="F25" s="3" t="s">
        <v>9</v>
      </c>
      <c r="G25" s="3"/>
      <c r="H25" s="3"/>
      <c r="I25" s="3"/>
      <c r="J25" s="3"/>
      <c r="K25" s="6"/>
      <c r="L25" s="4"/>
      <c r="M25" s="4"/>
      <c r="N25" s="4"/>
      <c r="O25" s="4"/>
    </row>
    <row r="26" spans="2:15" x14ac:dyDescent="0.3">
      <c r="B26" s="3">
        <v>2023</v>
      </c>
      <c r="C26" s="3">
        <f>IFERROR(AVERAGEIFS(Analisis!AB:AB,Analisis!$AA:$AA,Info!$B26),0)</f>
        <v>0</v>
      </c>
      <c r="D26" s="3">
        <f>IFERROR(AVERAGEIFS(Analisis!AC:AC,Analisis!$AA:$AA,Info!$B26),0)</f>
        <v>0</v>
      </c>
      <c r="E26" s="3">
        <f>IFERROR(AVERAGEIFS(Analisis!AD:AD,Analisis!$AA:$AA,Info!$B26),0)</f>
        <v>0</v>
      </c>
      <c r="F26" s="3">
        <f>IFERROR(AVERAGEIFS(Analisis!AE:AE,Analisis!$AA:$AA,Info!$B26),0)</f>
        <v>0</v>
      </c>
      <c r="G26" s="3"/>
      <c r="H26" s="3"/>
      <c r="I26" s="3"/>
      <c r="J26" s="3"/>
      <c r="K26" s="4"/>
      <c r="L26" s="4"/>
      <c r="M26" s="4"/>
      <c r="N26" s="4"/>
      <c r="O26" s="4"/>
    </row>
    <row r="27" spans="2:15" x14ac:dyDescent="0.3">
      <c r="B27" s="3">
        <v>2024</v>
      </c>
      <c r="C27" s="3">
        <f>IFERROR(AVERAGEIFS(Analisis!AB:AB,Analisis!$AA:$AA,Info!$B27),0)</f>
        <v>0</v>
      </c>
      <c r="D27" s="3">
        <f>IFERROR(AVERAGEIFS(Analisis!AC:AC,Analisis!$AA:$AA,Info!$B27),0)</f>
        <v>0</v>
      </c>
      <c r="E27" s="3">
        <f>IFERROR(AVERAGEIFS(Analisis!AD:AD,Analisis!$AA:$AA,Info!$B27),0)</f>
        <v>0</v>
      </c>
      <c r="F27" s="3">
        <f>IFERROR(AVERAGEIFS(Analisis!AE:AE,Analisis!$AA:$AA,Info!$B27),0)</f>
        <v>0</v>
      </c>
      <c r="G27" s="3"/>
      <c r="H27" s="3"/>
      <c r="I27" s="3"/>
      <c r="J27" s="3"/>
      <c r="K27" s="4"/>
      <c r="L27" s="4"/>
      <c r="M27" s="4"/>
      <c r="N27" s="4"/>
      <c r="O27" s="4"/>
    </row>
    <row r="28" spans="2:15" x14ac:dyDescent="0.3">
      <c r="B28" s="3">
        <v>2025</v>
      </c>
      <c r="C28" s="3">
        <f>IFERROR(AVERAGEIFS(Analisis!AB:AB,Analisis!$AA:$AA,Info!$B28),0)</f>
        <v>0</v>
      </c>
      <c r="D28" s="3">
        <f>IFERROR(AVERAGEIFS(Analisis!AC:AC,Analisis!$AA:$AA,Info!$B28),0)</f>
        <v>0</v>
      </c>
      <c r="E28" s="3">
        <f>IFERROR(AVERAGEIFS(Analisis!AD:AD,Analisis!$AA:$AA,Info!$B28),0)</f>
        <v>0</v>
      </c>
      <c r="F28" s="3">
        <f>IFERROR(AVERAGEIFS(Analisis!AE:AE,Analisis!$AA:$AA,Info!$B28),0)</f>
        <v>0</v>
      </c>
      <c r="G28" s="3"/>
      <c r="H28" s="3"/>
      <c r="I28" s="3"/>
      <c r="J28" s="3"/>
      <c r="K28" s="4"/>
      <c r="L28" s="4"/>
      <c r="M28" s="4"/>
      <c r="N28" s="4"/>
      <c r="O28" s="4"/>
    </row>
    <row r="29" spans="2:15" x14ac:dyDescent="0.3">
      <c r="B29" s="3">
        <v>2026</v>
      </c>
      <c r="C29" s="3">
        <f>IFERROR(AVERAGEIFS(Analisis!AB:AB,Analisis!$AA:$AA,Info!$B29),0)</f>
        <v>12163</v>
      </c>
      <c r="D29" s="3">
        <f>IFERROR(AVERAGEIFS(Analisis!AC:AC,Analisis!$AA:$AA,Info!$B29),0)</f>
        <v>1053</v>
      </c>
      <c r="E29" s="3">
        <f>IFERROR(AVERAGEIFS(Analisis!AD:AD,Analisis!$AA:$AA,Info!$B29),0)</f>
        <v>2358</v>
      </c>
      <c r="F29" s="3">
        <f>IFERROR(AVERAGEIFS(Analisis!AE:AE,Analisis!$AA:$AA,Info!$B29),0)</f>
        <v>1284</v>
      </c>
      <c r="G29" s="3"/>
      <c r="H29" s="3"/>
      <c r="I29" s="3"/>
      <c r="J29" s="3"/>
      <c r="K29" s="4"/>
      <c r="L29" s="4"/>
      <c r="M29" s="4"/>
      <c r="N29" s="4"/>
      <c r="O29" s="4"/>
    </row>
    <row r="30" spans="2:15" x14ac:dyDescent="0.3">
      <c r="B30" s="5"/>
      <c r="C30" s="5"/>
      <c r="D30" s="5"/>
      <c r="E30" s="5"/>
      <c r="F30" s="3"/>
      <c r="G30" s="3"/>
      <c r="H30" s="3"/>
      <c r="I30" s="3"/>
      <c r="J30" s="3"/>
      <c r="K30" s="4"/>
      <c r="L30" s="4"/>
      <c r="M30" s="4"/>
      <c r="N30" s="4"/>
      <c r="O30" s="4"/>
    </row>
    <row r="31" spans="2:15" ht="28.8" x14ac:dyDescent="0.3">
      <c r="B31" s="3"/>
      <c r="C31" s="3" t="s">
        <v>47</v>
      </c>
      <c r="D31" s="3"/>
      <c r="E31" s="3"/>
      <c r="F31" s="3"/>
      <c r="G31" s="3"/>
      <c r="H31" s="3"/>
      <c r="I31" s="3"/>
      <c r="J31" s="3"/>
      <c r="K31" s="4"/>
      <c r="L31" s="4"/>
      <c r="M31" s="4"/>
      <c r="N31" s="4"/>
      <c r="O31" s="4"/>
    </row>
    <row r="32" spans="2:15" x14ac:dyDescent="0.3">
      <c r="B32" s="3">
        <v>2023</v>
      </c>
      <c r="C32" s="5">
        <f>IFERROR(AVERAGEIFS(Analisis!$Y:$Y,Analisis!$X:$X,Info!$B32),0)</f>
        <v>7.1835432728654031E-2</v>
      </c>
      <c r="D32" s="5"/>
      <c r="E32" s="5"/>
      <c r="F32" s="3"/>
      <c r="G32" s="3"/>
      <c r="H32" s="3"/>
      <c r="I32" s="3"/>
      <c r="J32" s="3"/>
      <c r="K32" s="4"/>
      <c r="L32" s="4"/>
      <c r="M32" s="4"/>
      <c r="N32" s="4"/>
      <c r="O32" s="4"/>
    </row>
    <row r="33" spans="2:15" x14ac:dyDescent="0.3">
      <c r="B33" s="3">
        <v>2024</v>
      </c>
      <c r="C33" s="5">
        <f>IFERROR(AVERAGEIFS(Analisis!$Y:$Y,Analisis!$X:$X,Info!$B33),0)</f>
        <v>5.9150591161085231E-2</v>
      </c>
      <c r="D33" s="5"/>
      <c r="E33" s="5"/>
      <c r="F33" s="3"/>
      <c r="G33" s="3"/>
      <c r="H33" s="3"/>
      <c r="I33" s="3"/>
      <c r="J33" s="3"/>
      <c r="K33" s="4"/>
      <c r="L33" s="4"/>
      <c r="M33" s="4"/>
      <c r="N33" s="4"/>
      <c r="O33" s="4"/>
    </row>
    <row r="34" spans="2:15" x14ac:dyDescent="0.3">
      <c r="B34" s="3">
        <v>2025</v>
      </c>
      <c r="C34" s="5">
        <f>IFERROR(AVERAGEIFS(Analisis!$Y:$Y,Analisis!$X:$X,Info!$B34),0)</f>
        <v>5.611644407713446E-2</v>
      </c>
      <c r="D34" s="5"/>
      <c r="E34" s="5"/>
      <c r="F34" s="3"/>
      <c r="G34" s="3"/>
      <c r="H34" s="3"/>
      <c r="I34" s="3"/>
      <c r="J34" s="3"/>
      <c r="K34" s="4"/>
      <c r="L34" s="4"/>
      <c r="M34" s="4"/>
      <c r="N34" s="4"/>
      <c r="O34" s="4"/>
    </row>
    <row r="35" spans="2:15" x14ac:dyDescent="0.3">
      <c r="B35" s="3">
        <v>2026</v>
      </c>
      <c r="C35" s="5">
        <f>IFERROR(AVERAGEIFS(Analisis!$Y:$Y,Analisis!$X:$X,Info!$B35),0)</f>
        <v>5.6263602875046184E-2</v>
      </c>
      <c r="D35" s="5"/>
      <c r="E35" s="5"/>
      <c r="F35" s="3"/>
      <c r="G35" s="3"/>
      <c r="H35" s="3"/>
      <c r="I35" s="3"/>
      <c r="J35" s="3"/>
      <c r="K35" s="4"/>
      <c r="L35" s="4"/>
      <c r="M35" s="4"/>
      <c r="N35" s="4"/>
      <c r="O35" s="4"/>
    </row>
    <row r="37" spans="2:15" x14ac:dyDescent="0.3">
      <c r="B37" s="3"/>
      <c r="C37" s="3" t="s">
        <v>6</v>
      </c>
      <c r="D37" s="3" t="s">
        <v>7</v>
      </c>
      <c r="E37" s="3" t="s">
        <v>8</v>
      </c>
      <c r="F37" s="3" t="s">
        <v>9</v>
      </c>
    </row>
    <row r="38" spans="2:15" x14ac:dyDescent="0.3">
      <c r="B38" s="3">
        <v>2023</v>
      </c>
      <c r="C38">
        <f>IFERROR(AVERAGEIFS(Analisis!AH:AH,Analisis!$AG:$AG,Info!$B38),0)</f>
        <v>32144</v>
      </c>
      <c r="D38">
        <f>IFERROR(AVERAGEIFS(Analisis!AI:AI,Analisis!$AG:$AG,Info!$B38),0)</f>
        <v>2611</v>
      </c>
      <c r="E38">
        <f>IFERROR(AVERAGEIFS(Analisis!AJ:AJ,Analisis!$AG:$AG,Info!$B38),0)</f>
        <v>5553</v>
      </c>
      <c r="F38">
        <f>IFERROR(AVERAGEIFS(Analisis!AK:AK,Analisis!$AG:$AG,Info!$B38),0)</f>
        <v>2475</v>
      </c>
    </row>
    <row r="39" spans="2:15" x14ac:dyDescent="0.3">
      <c r="B39" s="3">
        <v>2024</v>
      </c>
      <c r="C39">
        <f>IFERROR(AVERAGEIFS(Analisis!AH:AH,Analisis!$AG:$AG,Info!$B39),0)</f>
        <v>26402</v>
      </c>
      <c r="D39">
        <f>IFERROR(AVERAGEIFS(Analisis!AI:AI,Analisis!$AG:$AG,Info!$B39),0)</f>
        <v>2605</v>
      </c>
      <c r="E39">
        <f>IFERROR(AVERAGEIFS(Analisis!AJ:AJ,Analisis!$AG:$AG,Info!$B39),0)</f>
        <v>4970</v>
      </c>
      <c r="F39">
        <f>IFERROR(AVERAGEIFS(Analisis!AK:AK,Analisis!$AG:$AG,Info!$B39),0)</f>
        <v>2336</v>
      </c>
    </row>
    <row r="40" spans="2:15" x14ac:dyDescent="0.3">
      <c r="B40" s="3">
        <v>2025</v>
      </c>
      <c r="C40">
        <f>IFERROR(AVERAGEIFS(Analisis!AH:AH,Analisis!$AG:$AG,Info!$B40),0)</f>
        <v>27408</v>
      </c>
      <c r="D40">
        <f>IFERROR(AVERAGEIFS(Analisis!AI:AI,Analisis!$AG:$AG,Info!$B40),0)</f>
        <v>2244</v>
      </c>
      <c r="E40">
        <f>IFERROR(AVERAGEIFS(Analisis!AJ:AJ,Analisis!$AG:$AG,Info!$B40),0)</f>
        <v>5217</v>
      </c>
      <c r="F40">
        <f>IFERROR(AVERAGEIFS(Analisis!AK:AK,Analisis!$AG:$AG,Info!$B40),0)</f>
        <v>2125</v>
      </c>
    </row>
    <row r="41" spans="2:15" x14ac:dyDescent="0.3">
      <c r="B41" s="3">
        <v>2026</v>
      </c>
      <c r="C41">
        <f>IFERROR(AVERAGEIFS(Analisis!AH:AH,Analisis!$AG:$AG,Info!$B41),0)</f>
        <v>12163</v>
      </c>
      <c r="D41">
        <f>IFERROR(AVERAGEIFS(Analisis!AI:AI,Analisis!$AG:$AG,Info!$B41),0)</f>
        <v>1053</v>
      </c>
      <c r="E41">
        <f>IFERROR(AVERAGEIFS(Analisis!AJ:AJ,Analisis!$AG:$AG,Info!$B41),0)</f>
        <v>2358</v>
      </c>
      <c r="F41">
        <f>IFERROR(AVERAGEIFS(Analisis!AK:AK,Analisis!$AG:$AG,Info!$B41),0)</f>
        <v>1284</v>
      </c>
    </row>
  </sheetData>
  <mergeCells count="5">
    <mergeCell ref="C10:D10"/>
    <mergeCell ref="E10:F10"/>
    <mergeCell ref="G10:H10"/>
    <mergeCell ref="I10:J10"/>
    <mergeCell ref="M10:N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D751-A2FE-42CC-B0C7-8070327D314E}">
  <sheetPr>
    <tabColor rgb="FF92D050"/>
  </sheetPr>
  <dimension ref="A1:W40"/>
  <sheetViews>
    <sheetView showGridLines="0" showRowColHeaders="0" tabSelected="1" showWhiteSpace="0" topLeftCell="B1" zoomScaleNormal="100" zoomScaleSheetLayoutView="96" workbookViewId="0">
      <selection activeCell="V8" sqref="V8"/>
    </sheetView>
  </sheetViews>
  <sheetFormatPr baseColWidth="10" defaultColWidth="11.44140625" defaultRowHeight="14.4" x14ac:dyDescent="0.3"/>
  <cols>
    <col min="1" max="1" width="2.77734375" customWidth="1"/>
    <col min="2" max="12" width="11.6640625" customWidth="1"/>
    <col min="13" max="13" width="2.6640625" customWidth="1"/>
    <col min="16" max="16" width="12.77734375" customWidth="1"/>
    <col min="17" max="17" width="2.6640625" customWidth="1"/>
    <col min="20" max="23" width="5.77734375" customWidth="1"/>
  </cols>
  <sheetData>
    <row r="1" spans="1:23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12"/>
    </row>
    <row r="2" spans="1:23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12"/>
    </row>
    <row r="3" spans="1:23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12"/>
    </row>
    <row r="4" spans="1:23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2"/>
    </row>
    <row r="5" spans="1:23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12"/>
    </row>
    <row r="6" spans="1:23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12"/>
    </row>
    <row r="7" spans="1:23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2"/>
    </row>
    <row r="8" spans="1:23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1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1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1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1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12"/>
    </row>
    <row r="13" spans="1:23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12"/>
    </row>
    <row r="14" spans="1:23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12"/>
    </row>
    <row r="15" spans="1:23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12"/>
    </row>
    <row r="16" spans="1:23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12"/>
    </row>
    <row r="17" spans="1:23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12"/>
    </row>
    <row r="18" spans="1:23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12"/>
    </row>
    <row r="19" spans="1:23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 t="s">
        <v>38</v>
      </c>
      <c r="S19" s="2"/>
      <c r="T19" s="2"/>
      <c r="U19" s="2"/>
      <c r="V19" s="2"/>
      <c r="W19" s="12"/>
    </row>
    <row r="20" spans="1:23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12"/>
    </row>
    <row r="21" spans="1:23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12"/>
    </row>
    <row r="22" spans="1:23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12"/>
    </row>
    <row r="23" spans="1:23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12"/>
    </row>
    <row r="24" spans="1:23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12"/>
    </row>
    <row r="25" spans="1:23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12"/>
    </row>
    <row r="26" spans="1:23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12"/>
    </row>
    <row r="27" spans="1:23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12"/>
    </row>
    <row r="28" spans="1:23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12"/>
    </row>
    <row r="29" spans="1:23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12"/>
    </row>
    <row r="30" spans="1:23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12"/>
    </row>
    <row r="31" spans="1:23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 t="s">
        <v>39</v>
      </c>
      <c r="S31" s="2"/>
      <c r="T31" s="2"/>
      <c r="U31" s="2"/>
      <c r="V31" s="2"/>
      <c r="W31" s="12"/>
    </row>
    <row r="32" spans="1:23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12"/>
    </row>
    <row r="33" spans="1:23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12"/>
    </row>
    <row r="34" spans="1:23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2"/>
    </row>
    <row r="35" spans="1:23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2"/>
    </row>
    <row r="36" spans="1:23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12"/>
    </row>
    <row r="37" spans="1:23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12"/>
    </row>
    <row r="38" spans="1:23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12"/>
    </row>
    <row r="39" spans="1:23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12"/>
    </row>
    <row r="40" spans="1:23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12"/>
    </row>
  </sheetData>
  <pageMargins left="0.7" right="0.7" top="0.75" bottom="0.75" header="0.3" footer="0.3"/>
  <pageSetup scale="53" orientation="portrait" r:id="rId1"/>
  <colBreaks count="1" manualBreakCount="1">
    <brk id="16" max="30" man="1"/>
  </colBreaks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1F2DD5-31EF-4034-8172-1414D716DE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Ausentismos</vt:lpstr>
      <vt:lpstr>Analisis</vt:lpstr>
      <vt:lpstr>Info</vt:lpstr>
      <vt:lpstr>DashBoard</vt:lpstr>
      <vt:lpstr>DashBoard!Área_de_impresión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Jesús Ángel Muñoz Cuacua</dc:creator>
  <cp:keywords/>
  <dc:description/>
  <cp:lastModifiedBy>Jesús Ángel Muñoz Cuacua</cp:lastModifiedBy>
  <cp:revision/>
  <cp:lastPrinted>2026-06-17T16:36:44Z</cp:lastPrinted>
  <dcterms:created xsi:type="dcterms:W3CDTF">2026-06-15T15:10:35Z</dcterms:created>
  <dcterms:modified xsi:type="dcterms:W3CDTF">2026-06-17T22:10:42Z</dcterms:modified>
  <cp:category/>
  <cp:contentStatus/>
</cp:coreProperties>
</file>